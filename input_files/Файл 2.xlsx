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ysprofiles.adm.vvsu.ru\emplprofiles$\antonov\Desktop\2026.02\"/>
    </mc:Choice>
  </mc:AlternateContent>
  <bookViews>
    <workbookView xWindow="0" yWindow="0" windowWidth="28800" windowHeight="12420" activeTab="1"/>
  </bookViews>
  <sheets>
    <sheet name="Титульный лист" sheetId="1" r:id="rId1"/>
    <sheet name="Учебная нагрузка" sheetId="2" r:id="rId2"/>
    <sheet name="Неконтактная работа" sheetId="3" r:id="rId3"/>
    <sheet name="Метод. работа" sheetId="4" r:id="rId4"/>
    <sheet name="Электр. обучение" sheetId="5" r:id="rId5"/>
    <sheet name="Научная работа" sheetId="6" r:id="rId6"/>
    <sheet name="Орг. работа" sheetId="7" r:id="rId7"/>
    <sheet name="Повыш. квалификации" sheetId="8" r:id="rId8"/>
    <sheet name="Поручения рук. напр." sheetId="9" r:id="rId9"/>
    <sheet name="ИТОГИ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0" l="1"/>
  <c r="C15" i="9"/>
  <c r="C8" i="8"/>
  <c r="C19" i="7"/>
  <c r="C44" i="6"/>
  <c r="C11" i="5"/>
  <c r="C62" i="4"/>
  <c r="C16" i="3"/>
  <c r="C14" i="10" l="1"/>
  <c r="C18" i="10"/>
  <c r="C17" i="10"/>
  <c r="C19" i="10"/>
  <c r="C15" i="10"/>
  <c r="C16" i="10"/>
  <c r="C20" i="10"/>
</calcChain>
</file>

<file path=xl/sharedStrings.xml><?xml version="1.0" encoding="utf-8"?>
<sst xmlns="http://schemas.openxmlformats.org/spreadsheetml/2006/main" count="1405" uniqueCount="331">
  <si>
    <t/>
  </si>
  <si>
    <t>И Н Д И В И Д У А Л Ь Н Ы Й    П Л А Н   Р А Б О Т Ы</t>
  </si>
  <si>
    <t>Шумик Е.Г.    Заведующий кафедрой, 1 ст.</t>
  </si>
  <si>
    <t>на 2025 - 2026  учебный год</t>
  </si>
  <si>
    <t>План обсужден на заседании</t>
  </si>
  <si>
    <t>кафедры "___" _______________  20____г.</t>
  </si>
  <si>
    <t>Протокол № _________________</t>
  </si>
  <si>
    <t>Зав.кафедрой _______________________</t>
  </si>
  <si>
    <t>Шумик Е.Г.</t>
  </si>
  <si>
    <t>Владивосток</t>
  </si>
  <si>
    <t>2025 - 2026 учебный год</t>
  </si>
  <si>
    <t>У Ч Е Б Н А Я   Р А Б О Т А</t>
  </si>
  <si>
    <t>№п/п</t>
  </si>
  <si>
    <t>Наименование дисциплины</t>
  </si>
  <si>
    <t>Группа</t>
  </si>
  <si>
    <t>Кол. студ.</t>
  </si>
  <si>
    <t>ОЧНАЯ ФОРМА ОБУЧЕНИЯ, ОСЕННИЙ СЕМЕСТР</t>
  </si>
  <si>
    <t>Недельная нагрузка</t>
  </si>
  <si>
    <t>Форма контроля</t>
  </si>
  <si>
    <t>Лек.</t>
  </si>
  <si>
    <t>Прак.</t>
  </si>
  <si>
    <t>Лаб.</t>
  </si>
  <si>
    <t>Аттестации</t>
  </si>
  <si>
    <t>Консуль- тации</t>
  </si>
  <si>
    <t>Конт. раб. и др.</t>
  </si>
  <si>
    <t>КР, КП, ПО</t>
  </si>
  <si>
    <t>Практики</t>
  </si>
  <si>
    <t>НИР</t>
  </si>
  <si>
    <t>ВКР, НКР</t>
  </si>
  <si>
    <t>Итого</t>
  </si>
  <si>
    <t>Зачеты</t>
  </si>
  <si>
    <t>Экзамены</t>
  </si>
  <si>
    <t>Зач.</t>
  </si>
  <si>
    <t>Экз.</t>
  </si>
  <si>
    <t>Курс.раб.</t>
  </si>
  <si>
    <t>Курс.пр.</t>
  </si>
  <si>
    <t>Конт.раб.</t>
  </si>
  <si>
    <t>Обыч.</t>
  </si>
  <si>
    <t>Диф.</t>
  </si>
  <si>
    <t>Тест</t>
  </si>
  <si>
    <t>ГЭК</t>
  </si>
  <si>
    <t>Теку-щие</t>
  </si>
  <si>
    <t>Пред-экзам.</t>
  </si>
  <si>
    <t>Учеб- ная</t>
  </si>
  <si>
    <t>Про- изв.</t>
  </si>
  <si>
    <t>НИП</t>
  </si>
  <si>
    <t>НПП</t>
  </si>
  <si>
    <t>Пред- дип.</t>
  </si>
  <si>
    <t>Информационная безопасность и защита информации</t>
  </si>
  <si>
    <t>БИН-23-1</t>
  </si>
  <si>
    <t>план</t>
  </si>
  <si>
    <t>БИН-23-2</t>
  </si>
  <si>
    <t>БИС-23-1</t>
  </si>
  <si>
    <t>БПИ-23-1</t>
  </si>
  <si>
    <t>БПИ-23-2</t>
  </si>
  <si>
    <t>ББИ-23-БА1</t>
  </si>
  <si>
    <t>БПМ-23-1</t>
  </si>
  <si>
    <t>ББИ|БИК|Б-ИН|БПМ-23</t>
  </si>
  <si>
    <t>Б-ИС|Б-ПИ-23</t>
  </si>
  <si>
    <t>Научно-исследовательская деятельность</t>
  </si>
  <si>
    <t>АРОЭ-23-1</t>
  </si>
  <si>
    <t>Основы информационной безопасности</t>
  </si>
  <si>
    <t>ИБ-24-1</t>
  </si>
  <si>
    <t>ИБ-24-2</t>
  </si>
  <si>
    <t>ИБ-24</t>
  </si>
  <si>
    <t>Программно-аппаратные средства обеспечения информационной безопасности</t>
  </si>
  <si>
    <t>ИБ-22-1</t>
  </si>
  <si>
    <t>Проектная деятельность</t>
  </si>
  <si>
    <t>ИБ-23-1/3</t>
  </si>
  <si>
    <t>ИТОГО ПО ОЧНОЙ ФОРМЕ ОБУЧЕНИЯ ЗА ОСЕННИЙ СЕМЕСТР:</t>
  </si>
  <si>
    <t>ОЧНАЯ ФОРМА ОБУЧЕНИЯ, ВЕСЕННИЙ СЕМЕСТР</t>
  </si>
  <si>
    <t>Криптографические протоколы</t>
  </si>
  <si>
    <t>Курсовое проектирование 1</t>
  </si>
  <si>
    <t>КП</t>
  </si>
  <si>
    <t>Курсовое проектирование 2</t>
  </si>
  <si>
    <t>ИБ-21-1</t>
  </si>
  <si>
    <t>Организационное и правовое обеспечение информационной безопасности</t>
  </si>
  <si>
    <t>ИБ-23-1</t>
  </si>
  <si>
    <t>ИБ-23-2</t>
  </si>
  <si>
    <t>ИБ-23</t>
  </si>
  <si>
    <t>Производственная профессиональная практика</t>
  </si>
  <si>
    <t>Производственная эксплуатационная практика</t>
  </si>
  <si>
    <t>Технология построения защищенных распределенных приложений</t>
  </si>
  <si>
    <t>Управление информационной безопасностью</t>
  </si>
  <si>
    <t>Учебная ознакомительная практика</t>
  </si>
  <si>
    <t>Учебная практика по получению навыков исследовательской работы</t>
  </si>
  <si>
    <t>ИБ-25-1</t>
  </si>
  <si>
    <t>ИБ-25-2</t>
  </si>
  <si>
    <t>Учебная практика по формированию навыков социального взаимодействия</t>
  </si>
  <si>
    <t>Учебная технологическая практика</t>
  </si>
  <si>
    <t>Экономические аспекты информационной безопасности</t>
  </si>
  <si>
    <t>ИТОГО ПО ОЧНОЙ ФОРМЕ ОБУЧЕНИЯ ЗА ВЕСЕННИЙ СЕМЕСТР:</t>
  </si>
  <si>
    <t>ЗАОЧНАЯ ФОРМА ОБУЧЕНИЯ</t>
  </si>
  <si>
    <t>ИТОГО ПО ЗАОЧНОЙ ФОРМЕ ОБУЧЕНИЯ:</t>
  </si>
  <si>
    <t>ОЧНО-ЗАОЧНАЯ ФОРМА ОБУЧЕНИЯ</t>
  </si>
  <si>
    <t>ИТОГО ПО ОЧНО-ЗАОЧНОЙ ФОРМЕ ОБУЧЕНИЯ:</t>
  </si>
  <si>
    <t>ИТОГО ЗА ГОД:</t>
  </si>
  <si>
    <t>Зав.кафедрой _______________________ Шумик Е.Г.</t>
  </si>
  <si>
    <t>_____________________ Шумик Е.Г.</t>
  </si>
  <si>
    <t>Шумик Е.Г.  Заведующий кафедрой, 1 ст.</t>
  </si>
  <si>
    <t>Н Е К О Н Т А К Т Н А Я   Р А Б О Т А ,   О Б Е С П Е Ч И В А Ю Щ А Я   У Ч Е Б Н Ы Й   П Р О Ц Е С С</t>
  </si>
  <si>
    <t>Наименование работы</t>
  </si>
  <si>
    <t>Объем в часах</t>
  </si>
  <si>
    <t>Отметка о невыполнении</t>
  </si>
  <si>
    <t>1</t>
  </si>
  <si>
    <t>1.1. Подготовка к проведению занятий</t>
  </si>
  <si>
    <t>1.1</t>
  </si>
  <si>
    <t>Подготовка к занятиям каф. ИБ</t>
  </si>
  <si>
    <t>2</t>
  </si>
  <si>
    <t>1.2. Проверка и прием контрольных работ, предусмотренных учебными планами (ОФО)</t>
  </si>
  <si>
    <t>3</t>
  </si>
  <si>
    <t>1.3. Проверка, рецензирование и прием контрольных работ, предусмотренных учебными планами (не ОФО)</t>
  </si>
  <si>
    <t>4</t>
  </si>
  <si>
    <t>1.4. Проверка, рецензирование курсовой работы</t>
  </si>
  <si>
    <t>5</t>
  </si>
  <si>
    <t>1.5. Проверка, рецензирование курсового проекта</t>
  </si>
  <si>
    <t>5.1</t>
  </si>
  <si>
    <t>Курсовое проектирование 2, ИБ-21-1</t>
  </si>
  <si>
    <t>5.2</t>
  </si>
  <si>
    <t>Курсовое проектирование 1, ИБ-22-1</t>
  </si>
  <si>
    <t>6</t>
  </si>
  <si>
    <t>1.6. Разработка задания и проверка ВКР</t>
  </si>
  <si>
    <t>7</t>
  </si>
  <si>
    <t>1.7. Разработка задания, проверка НКР</t>
  </si>
  <si>
    <t>Итого:</t>
  </si>
  <si>
    <t>У Ч Е Б Н О - М Е Т О Д И Ч Е С К А Я   Р А Б О Т А</t>
  </si>
  <si>
    <t>2.1.1. Разработка ОПОП ВО по вновь вводимому направлению/специальности, в т.ч. при переходе на новый ФГОС (гос.стандарт ФГОС3++)</t>
  </si>
  <si>
    <t>2.1.2. Разработка ОПОП ВО по вновь вводимому профилю/специализации/программе), в т.ч. при переходе на новый ФГОС (гос.стандарт ФГОС3++)</t>
  </si>
  <si>
    <t>2.1.3. Обновление ОПОП ВО, в т.ч. при выходе новой редакции ФГОС</t>
  </si>
  <si>
    <t>3.1</t>
  </si>
  <si>
    <t>10.05.03 Информационная безопасность автоматизированных систем.Безопасность открытых информационных систем (ИБ_ИБ++)</t>
  </si>
  <si>
    <t>2.1.4. Разработка базовой РПД для дисциплины, вводимой в Реестр (гос.стандарт ФГОС3++)</t>
  </si>
  <si>
    <t>4.1</t>
  </si>
  <si>
    <t>Курсовое проектирование 2 (43928)</t>
  </si>
  <si>
    <t>4.2</t>
  </si>
  <si>
    <t>Производственная профессиональная практика (43944)</t>
  </si>
  <si>
    <t>4.3</t>
  </si>
  <si>
    <t>Экономические аспекты информационной безопасности (48522)</t>
  </si>
  <si>
    <t>2.1.5. Разработка РПД ОПОП на основе базовой РПД для общеуниверситетских дисциплин (гос.стандарт ФГОС3++)</t>
  </si>
  <si>
    <t>2.1.6. Разработка РПД ОПОП на основе базовой РПД для необщеуниверситетских дисциплин, читаемых для разных направлений/специальностей (гос.стандарт ФГОС3++)</t>
  </si>
  <si>
    <t>6.1</t>
  </si>
  <si>
    <t>Производственная профессиональная практика (43944) для ИБ</t>
  </si>
  <si>
    <t>2.1.7. Разработка РПД ОПОП на основе базовой РПД для необщеуниверситетских дисциплин, закрывающих ПК и читаемых для разных профилей/специализаций/программ  внутри одного направления/специальности (гос.стандарт ФГОС3++)</t>
  </si>
  <si>
    <t>7.1</t>
  </si>
  <si>
    <t>Курсовое проектирование 2 (43928) для ИБ_ИБ++</t>
  </si>
  <si>
    <t>7.2</t>
  </si>
  <si>
    <t>Экономические аспекты информационной безопасности (48522) для ИБ_ИБ++</t>
  </si>
  <si>
    <t>8</t>
  </si>
  <si>
    <t>2.1.8. Обновление базовой РПД (гос.стандарт ФГОС3++)</t>
  </si>
  <si>
    <t>8.1</t>
  </si>
  <si>
    <t>Бизнес-процессы предприятия и их защита (42735)</t>
  </si>
  <si>
    <t>8.10</t>
  </si>
  <si>
    <t>Подготовка к процедуре защиты и защита выпускной квалификационной работы (43946)</t>
  </si>
  <si>
    <t>8.11</t>
  </si>
  <si>
    <t>Учебная технологическая практика (48188)</t>
  </si>
  <si>
    <t>8.12</t>
  </si>
  <si>
    <t>Курсовое проектирование 1 (48521)</t>
  </si>
  <si>
    <t>8.2</t>
  </si>
  <si>
    <t>Методы проектирования защищенных распределенных информационных систем (43926)</t>
  </si>
  <si>
    <t>8.3</t>
  </si>
  <si>
    <t>Модели безопасности компьютерных систем (43932)</t>
  </si>
  <si>
    <t>8.4</t>
  </si>
  <si>
    <t>Защита информации от утечки по техническим каналам (43935)</t>
  </si>
  <si>
    <t>8.5</t>
  </si>
  <si>
    <t>Учебная практика по формированию навыков социального взаимодействия (43940)</t>
  </si>
  <si>
    <t>8.6</t>
  </si>
  <si>
    <t>Учебная практика по получению навыков исследовательской работы (43941)</t>
  </si>
  <si>
    <t>8.7</t>
  </si>
  <si>
    <t>Учебная ознакомительная практика (43942)</t>
  </si>
  <si>
    <t>8.8</t>
  </si>
  <si>
    <t>Производственная эксплуатационная практика (43943)</t>
  </si>
  <si>
    <t>8.9</t>
  </si>
  <si>
    <t>Производственная преддипломная практика (43945)</t>
  </si>
  <si>
    <t>9</t>
  </si>
  <si>
    <t>2.1.9. Обновление РПД ОПОП на основе базовой РПД для общеуниверситетских дисциплин (гос.стандарт ФГОС3++)</t>
  </si>
  <si>
    <t>10</t>
  </si>
  <si>
    <t>2.1.10. Обновление РПД ОПОП на основе базовой РПД для необщеуниверситетских дисциплин, читаемых для разных направлений/специальностей (гос.стандарт ФГОС3++)</t>
  </si>
  <si>
    <t>10.1</t>
  </si>
  <si>
    <t>Методы проектирования защищенных распределенных информационных систем (43926) для ИБ</t>
  </si>
  <si>
    <t>10.2</t>
  </si>
  <si>
    <t>Модели безопасности компьютерных систем (43932) для ИБ</t>
  </si>
  <si>
    <t>10.3</t>
  </si>
  <si>
    <t>Защита информации от утечки по техническим каналам (43935) для ИБ</t>
  </si>
  <si>
    <t>10.4</t>
  </si>
  <si>
    <t>Учебная практика по формированию навыков социального взаимодействия (43940) для ИБ</t>
  </si>
  <si>
    <t>10.5</t>
  </si>
  <si>
    <t>Учебная практика по получению навыков исследовательской работы (43941) для ИБ</t>
  </si>
  <si>
    <t>10.6</t>
  </si>
  <si>
    <t>Учебная ознакомительная практика (43942) для ИБ</t>
  </si>
  <si>
    <t>10.7</t>
  </si>
  <si>
    <t>Производственная эксплуатационная практика (43943) для ИБ</t>
  </si>
  <si>
    <t>10.8</t>
  </si>
  <si>
    <t>Подготовка к процедуре защиты и защита выпускной квалификационной работы (43946) для ИБ</t>
  </si>
  <si>
    <t>11</t>
  </si>
  <si>
    <t>2.1.11. Обновление РПД ОПОП на основе базовой РПД для необщеуниверситетских дисциплин, закрвыающих ПК и читаемых для разных профилей/специализаций/программ  внутри одного направления/специальности (гос.стандарт ФГОС3++)</t>
  </si>
  <si>
    <t>11.1</t>
  </si>
  <si>
    <t>Бизнес-процессы предприятия и их защита (42735) для ИБ_ИБ++</t>
  </si>
  <si>
    <t>11.3</t>
  </si>
  <si>
    <t>Учебная технологическая практика (48188) для ИБ_ИБ++</t>
  </si>
  <si>
    <t>11.4</t>
  </si>
  <si>
    <t>Курсовое проектирование 1 (48521) для ИБ_ИБ++</t>
  </si>
  <si>
    <t>12</t>
  </si>
  <si>
    <t>2.1.12. Обновление РПД старого ФГОСа (другой гос.стандарт, НЕ ФГОС3++)</t>
  </si>
  <si>
    <t>13</t>
  </si>
  <si>
    <t>2.2.1. Разработка электронного учебного курса  для  организации смешанного обучения и применения  дистанционных технологий</t>
  </si>
  <si>
    <t>14</t>
  </si>
  <si>
    <t>2.2.2. Обновление электронного учебного курса  для  организации смешанного обучения и применения  дистанционных технологий</t>
  </si>
  <si>
    <t>15</t>
  </si>
  <si>
    <t>2.2.3. Разработка электронного учебно-методического комплекса дисциплины</t>
  </si>
  <si>
    <t>16</t>
  </si>
  <si>
    <t>2.2.4. Обновление электронного учебно-методического комплекса дисциплины</t>
  </si>
  <si>
    <t>17</t>
  </si>
  <si>
    <t>2.2.5. Разработка банка тестовых заданий для проведения промежуточной аттестации</t>
  </si>
  <si>
    <t>18</t>
  </si>
  <si>
    <t>2.2.6. Обновление банка тестовых заданий для проведения промежуточной аттестации</t>
  </si>
  <si>
    <t>19</t>
  </si>
  <si>
    <t>2.2.7. Составление заданий для контрольных работ (заочная форма обучения)</t>
  </si>
  <si>
    <t>20</t>
  </si>
  <si>
    <t>2.2.8. Обновление онлайн-курса размещенного на платформе открытого образования</t>
  </si>
  <si>
    <t>21</t>
  </si>
  <si>
    <t>2.3.1. Разработка и подготовка к изданию учебного пособия (в т.ч. в электронной форме)</t>
  </si>
  <si>
    <t>22</t>
  </si>
  <si>
    <t>2.3.2. Переиздание учебного пособия (в т.ч. в электронной форме)</t>
  </si>
  <si>
    <t>23</t>
  </si>
  <si>
    <t>2.3.3. Разработка, переработка и подготовка к изданию конспектов лекций (в т.ч. в электронной форме)</t>
  </si>
  <si>
    <t>24</t>
  </si>
  <si>
    <t>2.3.4. Разработка, переработка и подготовка к изданию сборников упражнений и задач (в т.ч. в электронной форме)</t>
  </si>
  <si>
    <t>25</t>
  </si>
  <si>
    <t>2.3.5. Разработка, переработка и подготовка к изданию лабораторных практикумов (в т.ч. в электронной форме)</t>
  </si>
  <si>
    <t>26</t>
  </si>
  <si>
    <t>2.3.6. Разработка, переработка и подготовка к изданию иных учебно-методических материалов (в т.ч. в электронной форме)</t>
  </si>
  <si>
    <t>Р Е А Л И З А Ц И Я   У Ч Е Б Н О Г О   П Р О Ц Е С С А   С   П Р И М Е Н Е Н И Е М   Т Е Х Н О Л О Г И Й   Э Л Е К Т Р О Н Н О Г О   О Б У Ч Е Н И Я</t>
  </si>
  <si>
    <t>3.1. Организация самостоятельной работы студента в электронной среде</t>
  </si>
  <si>
    <t>3.2. Тьюторское сопровождение студентов, направленных университетом осваивать онлайн-курс на платформах открытого образования</t>
  </si>
  <si>
    <t>3.3. Тьюторское сопровождение внешних обучающихся на авторских онлайн-курсах ВВГУ размещенных на платформах открытого образования с получением сертификата</t>
  </si>
  <si>
    <t>3.4. Сопровождение электронного учебного курса для смешанного обучения по дисциплине (модулю) - очная форма обучения</t>
  </si>
  <si>
    <t>3.5. Сопровождение электронного учебного курса для полного онлайн-обучения по дисциплине (модулю)  - очная и заочная форма обучения. в т.ч с применением дистанционных технологий</t>
  </si>
  <si>
    <t>Н А У Ч Н О - И С С Л Е Д О В А Т Е Л Ь С К А Я   Р А Б О Т А</t>
  </si>
  <si>
    <t>4.1.1. Разработка заявки на зарубежный, международный, всероссийиский грант, госбюджетные научно-исследовательские работы</t>
  </si>
  <si>
    <t>4.1.2. Разработка заявки на всероссийский открытый конкурс, на научно-исследовательские работы по 44-ФЗ, на договор вне рамок курсового проектирования и выпускных квалификационных работ</t>
  </si>
  <si>
    <t>4.1.3. Руководство научно-исследовательской работой по договору с хозяйствующим субъектами (в рамках курсового проектирования и выпускных квалификационных работ, выполняемых вне рамок проектной деятельности)</t>
  </si>
  <si>
    <t>4.1.4. Выполнение научно-исследовательской работы по договору с хозяйствующим субъектами (в рамках курсового проектирования и выпускных квалификационных работ, выполняемых вне рамок проектной деятельности)</t>
  </si>
  <si>
    <t>4.1.5. Взаимодействие с предприятиями и работодателями по постановке задач на курсовые работы и выпускные квалификационные работы, поиск заказов на хоздоговорные и практикоориентированные работы, разработка технического задания в соотвествие с требованиями заказчика и подписание договора на научно-исследовательскую работу</t>
  </si>
  <si>
    <t>4.2. Публикация статей ВАК</t>
  </si>
  <si>
    <t>4.3. Публикация статей RSCI</t>
  </si>
  <si>
    <t>4.4. Публикация статей SCOPUS/WoS</t>
  </si>
  <si>
    <t>4.5. Публикация материалов конференций в базе SCOPUS/WoS</t>
  </si>
  <si>
    <t>4.6. Публикация статей РИНЦ</t>
  </si>
  <si>
    <t>4.7. Руководство научным семинаром</t>
  </si>
  <si>
    <t>4.8. Участие в научном семинаре</t>
  </si>
  <si>
    <t>4.9. Организация и проведение международной конференции, олимпиады, симпозиума на базе ВВГУ (по согласованию с директором департамента научно-исследовательской работы)</t>
  </si>
  <si>
    <t>4.10. Организация и проведение региональной или иной конференции, олимпиады, симпозиума на базе ВВГУ (по согласованию с директором департамента научно-исследовательской работы)</t>
  </si>
  <si>
    <t>4.11.1. Очное участие в научных и научно-практических конференциях с докладом на иностранном языке</t>
  </si>
  <si>
    <t>4.11.2. Очное участие в научных и научно-практических конференциях с докладом на русском языке</t>
  </si>
  <si>
    <t>4.12. Научное руководство (консультирование) в подготовке студеческого проекта на конкурс</t>
  </si>
  <si>
    <t>4.13. Руководство работой научного студенеского общества, кружка, группы, коллаборации, лаборатории</t>
  </si>
  <si>
    <t>4.14. Свидетельства о регистрации программ для ЭВМ и БД</t>
  </si>
  <si>
    <t>4.15. Патенты на изобретения/полезную модель</t>
  </si>
  <si>
    <t>4.16. Написание и подготовка монографии к изданию</t>
  </si>
  <si>
    <t>4.17.1. Организация  выставки, салона инноваций внутривузовского уровня</t>
  </si>
  <si>
    <t>4.17.2. Организация  выставки, салона инноваций регионального уровня</t>
  </si>
  <si>
    <t>4.17.3. Организация  выставки, салона инноваций международного уровня</t>
  </si>
  <si>
    <t>4.18.1. Участие в выставке, салоне инноваций внутривузовского уровня</t>
  </si>
  <si>
    <t>4.18.2. Участие в выставке, салоне инноваций регионального уровня</t>
  </si>
  <si>
    <t>27</t>
  </si>
  <si>
    <t>4.18.3. Участие в выставке, салоне инноваций международного уровня</t>
  </si>
  <si>
    <t>28</t>
  </si>
  <si>
    <t>4.19. Руководство научной школой</t>
  </si>
  <si>
    <t>29</t>
  </si>
  <si>
    <t>4.20. Выполнение НИР по внутренним заказам по решению научного руководителя в рамках утвержденной трудоемкости НИР</t>
  </si>
  <si>
    <t>30</t>
  </si>
  <si>
    <t>4.21.1. Научное рецензирование учебника, учебного пособия, монографии, научной статьи</t>
  </si>
  <si>
    <t>31</t>
  </si>
  <si>
    <t>4.21.2.1. Рецензия, экспертное заключение на кандидатскую диссертацию</t>
  </si>
  <si>
    <t>32</t>
  </si>
  <si>
    <t>4.21.2.2. Рецензия, экспертное заключение на докторскую диссертацию</t>
  </si>
  <si>
    <t>33</t>
  </si>
  <si>
    <t>4.21.3.1. Подготовка отзыва оппонента/ведущей организации на кандидатскую диссертацию</t>
  </si>
  <si>
    <t>34</t>
  </si>
  <si>
    <t>4.21.3.2. Подготовка отзыва оппонента/ведущей органзации на докторскую диссертацию</t>
  </si>
  <si>
    <t>35</t>
  </si>
  <si>
    <t>4.21.4. Подготовка отзывов на научные статьи, авторефераты и авторские заявки на изобретения</t>
  </si>
  <si>
    <t>36</t>
  </si>
  <si>
    <t>4.22.1. Подготовка  студента к участию в конференции без публикации</t>
  </si>
  <si>
    <t>37</t>
  </si>
  <si>
    <t>4.22.2. Подготовка  студента к участию в конференции с публикацией на русском языке</t>
  </si>
  <si>
    <t>38</t>
  </si>
  <si>
    <t>4.22.3. Подготовка  студента к участию в конференции с публикацией на иностранном языке</t>
  </si>
  <si>
    <t>О Р Г А Н И З А Ц И О Н Н А Я   Р А Б О Т А</t>
  </si>
  <si>
    <t>5.1. Выполнение поручений заведующего кафедрой</t>
  </si>
  <si>
    <t>5.2. Участие в заседаниях кафедры</t>
  </si>
  <si>
    <t>2.1</t>
  </si>
  <si>
    <t>Участие в заседаниях каф. ИБ</t>
  </si>
  <si>
    <t>5.3. Выполнение обязанностей куратора</t>
  </si>
  <si>
    <t>5.4. Выполнение обязанностей ученого секретаря кафедры</t>
  </si>
  <si>
    <t>5.5. Организационная работа заведующего кафедрой</t>
  </si>
  <si>
    <t>Организационная работа заведующего  каф. ИБ</t>
  </si>
  <si>
    <t>5.6.1. Работа в приемной комиссии, работа по профессиональной ориентации молодежи. Бакалавриат, Специалитет</t>
  </si>
  <si>
    <t>5.6.2. Работа в приемной комиссии, работа по профессиональной ориентации молодежи. Магистратура</t>
  </si>
  <si>
    <t>5.7. Взаимопосещение занятий</t>
  </si>
  <si>
    <t>5.8. Подготовка публикаций на странице кафедры и сайте ВВГУ</t>
  </si>
  <si>
    <t>5.9. Администрирование сайта кафедры</t>
  </si>
  <si>
    <t>5.10. Участие в учебно-методической комиссии</t>
  </si>
  <si>
    <t>П О В Ы Ш Е Н И Е   К В А Л И Ф И К А Ц И И</t>
  </si>
  <si>
    <t>6.1. Повышение квалификации в течение учебного года</t>
  </si>
  <si>
    <t>6.2. Стажировка на предприятии</t>
  </si>
  <si>
    <t>В Ы П О Л Н Е Н И Е   Р А Б О Т   П О   П О Р У Ч Е Н И Ю   Р У К О В О Д И Т Е Л Е Й   Н А П Р А В Л Е Н И Й</t>
  </si>
  <si>
    <t>7.1. Работы, инициированные ПРОРЕКТОРОМ ПО МОЛОДЕЖНОЙ ПОЛИТИКЕ и УЧЕБНО-ВОСПИТАТЕЛЬНОЙ ДЕЯТЕЛЬНОСТИ</t>
  </si>
  <si>
    <t>7.2. Работы, инициированные ДЕПАРТАМЕНТОМ НАУЧНО-ИССЛЕДОВАТЕЛЬСКОЙ РАБОТЫ</t>
  </si>
  <si>
    <t>7.3. Работы, инициированные ДЕПАРТАМЕНТОМ МАРКЕТИНГА И ИНФОРМАЦИОННОЙ ПОЛИТИКИ</t>
  </si>
  <si>
    <t>7.4. Работы, инициированные ДЕПАРТАМЕНТОМ ЦИФРОВОГО РАЗВИТИЯ</t>
  </si>
  <si>
    <t>7.5. Работы, инициированные ДЕПАРТАМЕНТОМ МОНИТОРИНГА И РАЗВИТИЯ ПРОФЕССИОНАЛЬНОГО ОБРАЗОВАНИЯ</t>
  </si>
  <si>
    <t>7.6. Работы, инициированные ДЕПАРТАМЕНТОМ МЕЖДУНАРОДНОЙ И КУЛЬТУРНОЙ ДЕЯТЕЛЬНОСТИ</t>
  </si>
  <si>
    <t>7.7. Работы, инициированные ответственными ПО ЭКОНОМИЧЕСКОЙ И КАДРОВОЙ ПОЛИТИКЕ</t>
  </si>
  <si>
    <t>7.8. Работы, инициированные ответственными ПО АКАДЕМИЧЕСКОЙ ПОЛИТИКЕ</t>
  </si>
  <si>
    <t>7.9. Работы, инициированные ПРОРЕКТОРОМ ПО КОМПЛЕКСНОЙ БЕЗОПАСНОСТИ</t>
  </si>
  <si>
    <t>2025 - 2026  учебный год</t>
  </si>
  <si>
    <t>ИТОГИ</t>
  </si>
  <si>
    <t>Норма часов на 1 ставку</t>
  </si>
  <si>
    <t>Норма часов на физическое лицо</t>
  </si>
  <si>
    <t>Норма по учебной нагрузке</t>
  </si>
  <si>
    <t>Норма по второй половине дня</t>
  </si>
  <si>
    <t>Фактическое кол-во часов</t>
  </si>
  <si>
    <t>Учебная нагрузка</t>
  </si>
  <si>
    <t>Неконтактная работа</t>
  </si>
  <si>
    <t>Метод. работа</t>
  </si>
  <si>
    <t>Электр. обучение</t>
  </si>
  <si>
    <t>Научная работа</t>
  </si>
  <si>
    <t>Орг. работа</t>
  </si>
  <si>
    <t>Повыш. квалификации</t>
  </si>
  <si>
    <t>Поручения рук. напр.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</si>
</sst>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Arial Cyr"/>
      <family val="2"/>
      <charset val="204"/>
    </font>
    <font>
      <b/>
      <sz val="13"/>
      <color theme="1"/>
      <name val="Arial Cyr"/>
      <family val="2"/>
      <charset val="204"/>
    </font>
    <font>
      <sz val="10"/>
      <color theme="1"/>
      <name val="Arial Cyr"/>
      <family val="2"/>
      <charset val="204"/>
    </font>
    <font>
      <sz val="9"/>
      <color theme="1"/>
      <name val="Arial Cyr"/>
      <family val="2"/>
      <charset val="204"/>
    </font>
    <font>
      <sz val="8.5"/>
      <color theme="1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4" fillId="0" borderId="0" xfId="0" applyFont="1" applyAlignment="1">
      <alignment horizontal="right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/>
    </xf>
    <xf numFmtId="0" fontId="4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zoomScale="90" zoomScaleNormal="90" workbookViewId="0"/>
  </sheetViews>
  <sheetFormatPr defaultRowHeight="15" x14ac:dyDescent="0.25"/>
  <sheetData>
    <row r="2" spans="1:12" x14ac:dyDescent="0.25">
      <c r="J2" s="12" t="s">
        <v>0</v>
      </c>
      <c r="K2" s="11"/>
      <c r="L2" s="11"/>
    </row>
    <row r="3" spans="1:12" ht="18" customHeight="1" x14ac:dyDescent="0.25">
      <c r="J3" s="12" t="s">
        <v>0</v>
      </c>
      <c r="K3" s="11"/>
      <c r="L3" s="11"/>
    </row>
    <row r="4" spans="1:12" ht="18" customHeight="1" x14ac:dyDescent="0.25">
      <c r="J4" s="12" t="s">
        <v>0</v>
      </c>
      <c r="K4" s="11"/>
      <c r="L4" s="11"/>
    </row>
    <row r="5" spans="1:12" ht="18" customHeight="1" x14ac:dyDescent="0.25">
      <c r="J5" s="12" t="s">
        <v>0</v>
      </c>
      <c r="K5" s="11"/>
      <c r="L5" s="11"/>
    </row>
    <row r="10" spans="1:12" x14ac:dyDescent="0.25">
      <c r="A10" s="14" t="s">
        <v>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2" spans="1:12" ht="16.5" x14ac:dyDescent="0.25">
      <c r="A12" s="13" t="s">
        <v>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4" spans="1:12" x14ac:dyDescent="0.25">
      <c r="A14" s="14" t="s">
        <v>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8" spans="1:12" x14ac:dyDescent="0.25">
      <c r="G18" s="10" t="s">
        <v>4</v>
      </c>
      <c r="H18" s="11"/>
      <c r="I18" s="11"/>
      <c r="J18" s="11"/>
      <c r="K18" s="11"/>
      <c r="L18" s="11"/>
    </row>
    <row r="19" spans="1:12" x14ac:dyDescent="0.25">
      <c r="G19" s="10" t="s">
        <v>5</v>
      </c>
      <c r="H19" s="11"/>
      <c r="I19" s="11"/>
      <c r="J19" s="11"/>
      <c r="K19" s="11"/>
      <c r="L19" s="11"/>
    </row>
    <row r="20" spans="1:12" x14ac:dyDescent="0.25">
      <c r="G20" s="10" t="s">
        <v>6</v>
      </c>
      <c r="H20" s="11"/>
      <c r="I20" s="11"/>
      <c r="J20" s="11"/>
      <c r="K20" s="11"/>
      <c r="L20" s="11"/>
    </row>
    <row r="21" spans="1:12" ht="18" customHeight="1" x14ac:dyDescent="0.25">
      <c r="G21" s="10" t="s">
        <v>7</v>
      </c>
      <c r="H21" s="11"/>
      <c r="I21" s="11"/>
      <c r="J21" s="11"/>
      <c r="K21" s="10" t="s">
        <v>8</v>
      </c>
      <c r="L21" s="11"/>
    </row>
    <row r="24" spans="1:12" x14ac:dyDescent="0.25">
      <c r="G24" s="10" t="s">
        <v>0</v>
      </c>
      <c r="H24" s="11"/>
      <c r="I24" s="11"/>
      <c r="J24" s="11"/>
      <c r="K24" s="11"/>
      <c r="L24" s="11"/>
    </row>
    <row r="25" spans="1:12" x14ac:dyDescent="0.25">
      <c r="G25" s="11"/>
      <c r="H25" s="11"/>
      <c r="I25" s="11"/>
      <c r="J25" s="11"/>
      <c r="K25" s="11"/>
      <c r="L25" s="11"/>
    </row>
    <row r="26" spans="1:12" x14ac:dyDescent="0.25">
      <c r="G26" s="11"/>
      <c r="H26" s="11"/>
      <c r="I26" s="11"/>
      <c r="J26" s="11"/>
      <c r="K26" s="11"/>
      <c r="L26" s="11"/>
    </row>
    <row r="27" spans="1:12" x14ac:dyDescent="0.25">
      <c r="G27" s="11"/>
      <c r="H27" s="11"/>
      <c r="I27" s="11"/>
      <c r="J27" s="11"/>
      <c r="K27" s="11"/>
      <c r="L27" s="11"/>
    </row>
    <row r="30" spans="1:12" x14ac:dyDescent="0.25">
      <c r="A30" s="12" t="s">
        <v>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x14ac:dyDescent="0.25">
      <c r="A31" s="12">
        <v>2025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</sheetData>
  <mergeCells count="15">
    <mergeCell ref="J2:L2"/>
    <mergeCell ref="J3:L3"/>
    <mergeCell ref="J4:L4"/>
    <mergeCell ref="J5:L5"/>
    <mergeCell ref="A10:L10"/>
    <mergeCell ref="A12:L12"/>
    <mergeCell ref="A14:L14"/>
    <mergeCell ref="G18:L18"/>
    <mergeCell ref="G19:L19"/>
    <mergeCell ref="G20:L20"/>
    <mergeCell ref="G21:J21"/>
    <mergeCell ref="K21:L21"/>
    <mergeCell ref="G24:L27"/>
    <mergeCell ref="A30:L30"/>
    <mergeCell ref="A31:L31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5"/>
  <sheetViews>
    <sheetView tabSelected="1" zoomScale="90" zoomScaleNormal="90" workbookViewId="0">
      <selection sqref="A1:AG1"/>
    </sheetView>
  </sheetViews>
  <sheetFormatPr defaultRowHeight="15" x14ac:dyDescent="0.25"/>
  <cols>
    <col min="1" max="1" width="6" customWidth="1"/>
    <col min="2" max="2" width="60" customWidth="1"/>
    <col min="3" max="3" width="17" customWidth="1"/>
    <col min="4" max="14" width="5" customWidth="1"/>
    <col min="15" max="15" width="6" customWidth="1"/>
    <col min="16" max="16" width="5" customWidth="1"/>
    <col min="17" max="17" width="6" customWidth="1"/>
    <col min="18" max="18" width="5" customWidth="1"/>
    <col min="19" max="19" width="6" customWidth="1"/>
    <col min="20" max="23" width="5" customWidth="1"/>
    <col min="24" max="24" width="6" customWidth="1"/>
    <col min="25" max="32" width="5" customWidth="1"/>
    <col min="33" max="33" width="8" customWidth="1"/>
  </cols>
  <sheetData>
    <row r="1" spans="1:33" x14ac:dyDescent="0.25">
      <c r="A1" s="26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5">
      <c r="A2" s="26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x14ac:dyDescent="0.25">
      <c r="A3" s="26" t="s">
        <v>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x14ac:dyDescent="0.25">
      <c r="A4" s="23" t="s">
        <v>12</v>
      </c>
      <c r="B4" s="23" t="s">
        <v>13</v>
      </c>
      <c r="C4" s="23" t="s">
        <v>14</v>
      </c>
      <c r="D4" s="23" t="s">
        <v>15</v>
      </c>
      <c r="E4" s="23" t="s">
        <v>0</v>
      </c>
      <c r="F4" s="18" t="s">
        <v>16</v>
      </c>
      <c r="G4" s="16" t="s">
        <v>0</v>
      </c>
      <c r="H4" s="16" t="s">
        <v>0</v>
      </c>
      <c r="I4" s="16" t="s">
        <v>0</v>
      </c>
      <c r="J4" s="16" t="s">
        <v>0</v>
      </c>
      <c r="K4" s="16" t="s">
        <v>0</v>
      </c>
      <c r="L4" s="16" t="s">
        <v>0</v>
      </c>
      <c r="M4" s="16" t="s">
        <v>0</v>
      </c>
      <c r="N4" s="16" t="s">
        <v>0</v>
      </c>
      <c r="O4" s="16" t="s">
        <v>0</v>
      </c>
      <c r="P4" s="16" t="s">
        <v>0</v>
      </c>
      <c r="Q4" s="16" t="s">
        <v>0</v>
      </c>
      <c r="R4" s="16" t="s">
        <v>0</v>
      </c>
      <c r="S4" s="16" t="s">
        <v>0</v>
      </c>
      <c r="T4" s="16" t="s">
        <v>0</v>
      </c>
      <c r="U4" s="16" t="s">
        <v>0</v>
      </c>
      <c r="V4" s="16" t="s">
        <v>0</v>
      </c>
      <c r="W4" s="16" t="s">
        <v>0</v>
      </c>
      <c r="X4" s="16" t="s">
        <v>0</v>
      </c>
      <c r="Y4" s="16" t="s">
        <v>0</v>
      </c>
      <c r="Z4" s="16" t="s">
        <v>0</v>
      </c>
      <c r="AA4" s="16" t="s">
        <v>0</v>
      </c>
      <c r="AB4" s="16" t="s">
        <v>0</v>
      </c>
      <c r="AC4" s="16" t="s">
        <v>0</v>
      </c>
      <c r="AD4" s="16" t="s">
        <v>0</v>
      </c>
      <c r="AE4" s="16" t="s">
        <v>0</v>
      </c>
      <c r="AF4" s="16" t="s">
        <v>0</v>
      </c>
      <c r="AG4" s="16" t="s">
        <v>0</v>
      </c>
    </row>
    <row r="5" spans="1:33" x14ac:dyDescent="0.25">
      <c r="A5" s="16" t="s">
        <v>0</v>
      </c>
      <c r="B5" s="16" t="s">
        <v>0</v>
      </c>
      <c r="C5" s="16" t="s">
        <v>0</v>
      </c>
      <c r="D5" s="16" t="s">
        <v>0</v>
      </c>
      <c r="E5" s="16" t="s">
        <v>0</v>
      </c>
      <c r="F5" s="23" t="s">
        <v>17</v>
      </c>
      <c r="G5" s="16" t="s">
        <v>0</v>
      </c>
      <c r="H5" s="16" t="s">
        <v>0</v>
      </c>
      <c r="I5" s="22" t="s">
        <v>18</v>
      </c>
      <c r="J5" s="22" t="s">
        <v>0</v>
      </c>
      <c r="K5" s="22" t="s">
        <v>0</v>
      </c>
      <c r="L5" s="22" t="s">
        <v>0</v>
      </c>
      <c r="M5" s="22" t="s">
        <v>0</v>
      </c>
      <c r="N5" s="22" t="s">
        <v>19</v>
      </c>
      <c r="O5" s="22" t="s">
        <v>20</v>
      </c>
      <c r="P5" s="22" t="s">
        <v>21</v>
      </c>
      <c r="Q5" s="22" t="s">
        <v>22</v>
      </c>
      <c r="R5" s="22" t="s">
        <v>0</v>
      </c>
      <c r="S5" s="22" t="s">
        <v>0</v>
      </c>
      <c r="T5" s="22" t="s">
        <v>0</v>
      </c>
      <c r="U5" s="22" t="s">
        <v>0</v>
      </c>
      <c r="V5" s="22" t="s">
        <v>23</v>
      </c>
      <c r="W5" s="22" t="s">
        <v>0</v>
      </c>
      <c r="X5" s="22" t="s">
        <v>24</v>
      </c>
      <c r="Y5" s="22" t="s">
        <v>25</v>
      </c>
      <c r="Z5" s="22" t="s">
        <v>26</v>
      </c>
      <c r="AA5" s="22" t="s">
        <v>0</v>
      </c>
      <c r="AB5" s="22" t="s">
        <v>0</v>
      </c>
      <c r="AC5" s="22" t="s">
        <v>0</v>
      </c>
      <c r="AD5" s="22" t="s">
        <v>0</v>
      </c>
      <c r="AE5" s="22" t="s">
        <v>27</v>
      </c>
      <c r="AF5" s="22" t="s">
        <v>28</v>
      </c>
      <c r="AG5" s="24" t="s">
        <v>29</v>
      </c>
    </row>
    <row r="6" spans="1:33" x14ac:dyDescent="0.25">
      <c r="A6" s="22" t="s">
        <v>0</v>
      </c>
      <c r="B6" s="22" t="s">
        <v>0</v>
      </c>
      <c r="C6" s="22" t="s">
        <v>0</v>
      </c>
      <c r="D6" s="22" t="s">
        <v>0</v>
      </c>
      <c r="E6" s="22" t="s">
        <v>0</v>
      </c>
      <c r="F6" s="22" t="s">
        <v>0</v>
      </c>
      <c r="G6" s="22" t="s">
        <v>0</v>
      </c>
      <c r="H6" s="22" t="s">
        <v>0</v>
      </c>
      <c r="I6" s="22" t="s">
        <v>0</v>
      </c>
      <c r="J6" s="22" t="s">
        <v>0</v>
      </c>
      <c r="K6" s="22" t="s">
        <v>0</v>
      </c>
      <c r="L6" s="22" t="s">
        <v>0</v>
      </c>
      <c r="M6" s="22" t="s">
        <v>0</v>
      </c>
      <c r="N6" s="22" t="s">
        <v>0</v>
      </c>
      <c r="O6" s="22" t="s">
        <v>0</v>
      </c>
      <c r="P6" s="22" t="s">
        <v>0</v>
      </c>
      <c r="Q6" s="22" t="s">
        <v>30</v>
      </c>
      <c r="R6" s="22" t="s">
        <v>0</v>
      </c>
      <c r="S6" s="22" t="s">
        <v>31</v>
      </c>
      <c r="T6" s="22" t="s">
        <v>0</v>
      </c>
      <c r="U6" s="22" t="s">
        <v>0</v>
      </c>
      <c r="V6" s="22" t="s">
        <v>0</v>
      </c>
      <c r="W6" s="22" t="s">
        <v>0</v>
      </c>
      <c r="X6" s="22" t="s">
        <v>0</v>
      </c>
      <c r="Y6" s="22" t="s">
        <v>0</v>
      </c>
      <c r="Z6" s="22" t="s">
        <v>0</v>
      </c>
      <c r="AA6" s="22" t="s">
        <v>0</v>
      </c>
      <c r="AB6" s="22" t="s">
        <v>0</v>
      </c>
      <c r="AC6" s="22" t="s">
        <v>0</v>
      </c>
      <c r="AD6" s="22" t="s">
        <v>0</v>
      </c>
      <c r="AE6" s="22" t="s">
        <v>0</v>
      </c>
      <c r="AF6" s="22" t="s">
        <v>0</v>
      </c>
      <c r="AG6" s="25" t="s">
        <v>0</v>
      </c>
    </row>
    <row r="7" spans="1:33" x14ac:dyDescent="0.25">
      <c r="A7" s="16" t="s">
        <v>0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19</v>
      </c>
      <c r="G7" s="15" t="s">
        <v>20</v>
      </c>
      <c r="H7" s="15" t="s">
        <v>21</v>
      </c>
      <c r="I7" s="15" t="s">
        <v>32</v>
      </c>
      <c r="J7" s="15" t="s">
        <v>33</v>
      </c>
      <c r="K7" s="17" t="s">
        <v>34</v>
      </c>
      <c r="L7" s="17" t="s">
        <v>35</v>
      </c>
      <c r="M7" s="17" t="s">
        <v>36</v>
      </c>
      <c r="N7" s="16" t="s">
        <v>0</v>
      </c>
      <c r="O7" s="16" t="s">
        <v>0</v>
      </c>
      <c r="P7" s="16" t="s">
        <v>0</v>
      </c>
      <c r="Q7" s="15" t="s">
        <v>37</v>
      </c>
      <c r="R7" s="15" t="s">
        <v>38</v>
      </c>
      <c r="S7" s="15" t="s">
        <v>37</v>
      </c>
      <c r="T7" s="15" t="s">
        <v>39</v>
      </c>
      <c r="U7" s="15" t="s">
        <v>40</v>
      </c>
      <c r="V7" s="17" t="s">
        <v>41</v>
      </c>
      <c r="W7" s="17" t="s">
        <v>42</v>
      </c>
      <c r="X7" s="16" t="s">
        <v>0</v>
      </c>
      <c r="Y7" s="16" t="s">
        <v>0</v>
      </c>
      <c r="Z7" s="17" t="s">
        <v>43</v>
      </c>
      <c r="AA7" s="17" t="s">
        <v>44</v>
      </c>
      <c r="AB7" s="15" t="s">
        <v>45</v>
      </c>
      <c r="AC7" s="15" t="s">
        <v>46</v>
      </c>
      <c r="AD7" s="17" t="s">
        <v>47</v>
      </c>
      <c r="AE7" s="16" t="s">
        <v>0</v>
      </c>
      <c r="AF7" s="16" t="s">
        <v>0</v>
      </c>
      <c r="AG7" s="16" t="s">
        <v>0</v>
      </c>
    </row>
    <row r="8" spans="1:33" ht="9.9499999999999993" customHeight="1" x14ac:dyDescent="0.25">
      <c r="A8" s="16" t="s">
        <v>0</v>
      </c>
      <c r="B8" s="16" t="s">
        <v>0</v>
      </c>
      <c r="C8" s="16" t="s">
        <v>0</v>
      </c>
      <c r="D8" s="16" t="s">
        <v>0</v>
      </c>
      <c r="E8" s="16" t="s">
        <v>0</v>
      </c>
      <c r="F8" s="16" t="s">
        <v>0</v>
      </c>
      <c r="G8" s="16" t="s">
        <v>0</v>
      </c>
      <c r="H8" s="16" t="s">
        <v>0</v>
      </c>
      <c r="I8" s="16" t="s">
        <v>0</v>
      </c>
      <c r="J8" s="16" t="s">
        <v>0</v>
      </c>
      <c r="K8" s="16" t="s">
        <v>0</v>
      </c>
      <c r="L8" s="16" t="s">
        <v>0</v>
      </c>
      <c r="M8" s="16" t="s">
        <v>0</v>
      </c>
      <c r="N8" s="16" t="s">
        <v>0</v>
      </c>
      <c r="O8" s="16" t="s">
        <v>0</v>
      </c>
      <c r="P8" s="16" t="s">
        <v>0</v>
      </c>
      <c r="Q8" s="16" t="s">
        <v>0</v>
      </c>
      <c r="R8" s="16" t="s">
        <v>0</v>
      </c>
      <c r="S8" s="16" t="s">
        <v>0</v>
      </c>
      <c r="T8" s="16" t="s">
        <v>0</v>
      </c>
      <c r="U8" s="16" t="s">
        <v>0</v>
      </c>
      <c r="V8" s="16" t="s">
        <v>0</v>
      </c>
      <c r="W8" s="16" t="s">
        <v>0</v>
      </c>
      <c r="X8" s="16" t="s">
        <v>0</v>
      </c>
      <c r="Y8" s="16" t="s">
        <v>0</v>
      </c>
      <c r="Z8" s="16" t="s">
        <v>0</v>
      </c>
      <c r="AA8" s="16" t="s">
        <v>0</v>
      </c>
      <c r="AB8" s="16" t="s">
        <v>0</v>
      </c>
      <c r="AC8" s="16" t="s">
        <v>0</v>
      </c>
      <c r="AD8" s="16" t="s">
        <v>0</v>
      </c>
      <c r="AE8" s="16" t="s">
        <v>0</v>
      </c>
      <c r="AF8" s="16" t="s">
        <v>0</v>
      </c>
      <c r="AG8" s="16" t="s">
        <v>0</v>
      </c>
    </row>
    <row r="9" spans="1:33" x14ac:dyDescent="0.25">
      <c r="A9" s="3">
        <v>1</v>
      </c>
      <c r="B9" s="3" t="s">
        <v>48</v>
      </c>
      <c r="C9" s="3" t="s">
        <v>49</v>
      </c>
      <c r="D9" s="4">
        <v>23</v>
      </c>
      <c r="E9" s="9" t="s">
        <v>50</v>
      </c>
      <c r="F9" s="4"/>
      <c r="G9" s="4">
        <v>2</v>
      </c>
      <c r="H9" s="4"/>
      <c r="I9" s="4"/>
      <c r="J9" s="4"/>
      <c r="K9" s="4"/>
      <c r="L9" s="4"/>
      <c r="M9" s="4"/>
      <c r="N9" s="4"/>
      <c r="O9" s="4">
        <v>36</v>
      </c>
      <c r="P9" s="4"/>
      <c r="Q9" s="4"/>
      <c r="R9" s="4"/>
      <c r="S9" s="4"/>
      <c r="T9" s="4"/>
      <c r="U9" s="4"/>
      <c r="V9" s="4">
        <v>4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>
        <v>40</v>
      </c>
    </row>
    <row r="10" spans="1:33" x14ac:dyDescent="0.25">
      <c r="A10" s="3">
        <v>2</v>
      </c>
      <c r="B10" s="3" t="s">
        <v>48</v>
      </c>
      <c r="C10" s="3" t="s">
        <v>51</v>
      </c>
      <c r="D10" s="4">
        <v>23</v>
      </c>
      <c r="E10" s="9" t="s">
        <v>50</v>
      </c>
      <c r="F10" s="4"/>
      <c r="G10" s="4">
        <v>2</v>
      </c>
      <c r="H10" s="4"/>
      <c r="I10" s="4"/>
      <c r="J10" s="4"/>
      <c r="K10" s="4"/>
      <c r="L10" s="4"/>
      <c r="M10" s="4"/>
      <c r="N10" s="4"/>
      <c r="O10" s="4">
        <v>36</v>
      </c>
      <c r="P10" s="4"/>
      <c r="Q10" s="4"/>
      <c r="R10" s="4"/>
      <c r="S10" s="4"/>
      <c r="T10" s="4"/>
      <c r="U10" s="4"/>
      <c r="V10" s="4">
        <v>4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>
        <v>40</v>
      </c>
    </row>
    <row r="11" spans="1:33" x14ac:dyDescent="0.25">
      <c r="A11" s="3">
        <v>3</v>
      </c>
      <c r="B11" s="3" t="s">
        <v>48</v>
      </c>
      <c r="C11" s="3" t="s">
        <v>52</v>
      </c>
      <c r="D11" s="4">
        <v>18</v>
      </c>
      <c r="E11" s="9" t="s">
        <v>50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>
        <v>0</v>
      </c>
    </row>
    <row r="12" spans="1:33" x14ac:dyDescent="0.25">
      <c r="A12" s="3">
        <v>4</v>
      </c>
      <c r="B12" s="3" t="s">
        <v>48</v>
      </c>
      <c r="C12" s="3" t="s">
        <v>53</v>
      </c>
      <c r="D12" s="4">
        <v>20</v>
      </c>
      <c r="E12" s="9" t="s">
        <v>50</v>
      </c>
      <c r="F12" s="4"/>
      <c r="G12" s="4">
        <v>2</v>
      </c>
      <c r="H12" s="4"/>
      <c r="I12" s="4"/>
      <c r="J12" s="4"/>
      <c r="K12" s="4"/>
      <c r="L12" s="4"/>
      <c r="M12" s="4"/>
      <c r="N12" s="4"/>
      <c r="O12" s="4">
        <v>36</v>
      </c>
      <c r="P12" s="4"/>
      <c r="Q12" s="4"/>
      <c r="R12" s="4"/>
      <c r="S12" s="4"/>
      <c r="T12" s="4"/>
      <c r="U12" s="4"/>
      <c r="V12" s="4">
        <v>4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>
        <v>40</v>
      </c>
    </row>
    <row r="13" spans="1:33" x14ac:dyDescent="0.25">
      <c r="A13" s="3">
        <v>5</v>
      </c>
      <c r="B13" s="3" t="s">
        <v>48</v>
      </c>
      <c r="C13" s="3" t="s">
        <v>54</v>
      </c>
      <c r="D13" s="4">
        <v>21</v>
      </c>
      <c r="E13" s="9" t="s">
        <v>50</v>
      </c>
      <c r="F13" s="4"/>
      <c r="G13" s="4">
        <v>2</v>
      </c>
      <c r="H13" s="4"/>
      <c r="I13" s="4"/>
      <c r="J13" s="4"/>
      <c r="K13" s="4"/>
      <c r="L13" s="4"/>
      <c r="M13" s="4"/>
      <c r="N13" s="4"/>
      <c r="O13" s="4">
        <v>36</v>
      </c>
      <c r="P13" s="4"/>
      <c r="Q13" s="4"/>
      <c r="R13" s="4"/>
      <c r="S13" s="4"/>
      <c r="T13" s="4"/>
      <c r="U13" s="4"/>
      <c r="V13" s="4">
        <v>4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>
        <v>40</v>
      </c>
    </row>
    <row r="14" spans="1:33" x14ac:dyDescent="0.25">
      <c r="A14" s="3">
        <v>6</v>
      </c>
      <c r="B14" s="3" t="s">
        <v>48</v>
      </c>
      <c r="C14" s="3" t="s">
        <v>55</v>
      </c>
      <c r="D14" s="4">
        <v>8</v>
      </c>
      <c r="E14" s="9" t="s">
        <v>50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>
        <v>0</v>
      </c>
    </row>
    <row r="15" spans="1:33" x14ac:dyDescent="0.25">
      <c r="A15" s="3">
        <v>7</v>
      </c>
      <c r="B15" s="3" t="s">
        <v>48</v>
      </c>
      <c r="C15" s="3" t="s">
        <v>56</v>
      </c>
      <c r="D15" s="4">
        <v>5</v>
      </c>
      <c r="E15" s="9" t="s">
        <v>50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>
        <v>0</v>
      </c>
    </row>
    <row r="16" spans="1:33" ht="24" x14ac:dyDescent="0.25">
      <c r="A16" s="3">
        <v>8</v>
      </c>
      <c r="B16" s="3" t="s">
        <v>48</v>
      </c>
      <c r="C16" s="3" t="s">
        <v>57</v>
      </c>
      <c r="D16" s="4">
        <v>97</v>
      </c>
      <c r="E16" s="9" t="s">
        <v>50</v>
      </c>
      <c r="F16" s="4">
        <v>2</v>
      </c>
      <c r="G16" s="4"/>
      <c r="H16" s="4"/>
      <c r="I16" s="4"/>
      <c r="J16" s="4"/>
      <c r="K16" s="4"/>
      <c r="L16" s="4"/>
      <c r="M16" s="4"/>
      <c r="N16" s="4">
        <v>36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>
        <v>36</v>
      </c>
    </row>
    <row r="17" spans="1:33" x14ac:dyDescent="0.25">
      <c r="A17" s="3">
        <v>9</v>
      </c>
      <c r="B17" s="3" t="s">
        <v>48</v>
      </c>
      <c r="C17" s="3" t="s">
        <v>58</v>
      </c>
      <c r="D17" s="4">
        <v>92</v>
      </c>
      <c r="E17" s="9" t="s">
        <v>50</v>
      </c>
      <c r="F17" s="4">
        <v>2</v>
      </c>
      <c r="G17" s="4"/>
      <c r="H17" s="4"/>
      <c r="I17" s="4"/>
      <c r="J17" s="4"/>
      <c r="K17" s="4"/>
      <c r="L17" s="4"/>
      <c r="M17" s="4"/>
      <c r="N17" s="4">
        <v>36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>
        <v>36</v>
      </c>
    </row>
    <row r="18" spans="1:33" x14ac:dyDescent="0.25">
      <c r="A18" s="3">
        <v>10</v>
      </c>
      <c r="B18" s="3" t="s">
        <v>59</v>
      </c>
      <c r="C18" s="3" t="s">
        <v>60</v>
      </c>
      <c r="D18" s="4">
        <v>13</v>
      </c>
      <c r="E18" s="9" t="s">
        <v>50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>
        <v>40</v>
      </c>
    </row>
    <row r="19" spans="1:33" x14ac:dyDescent="0.25">
      <c r="A19" s="3">
        <v>11</v>
      </c>
      <c r="B19" s="3" t="s">
        <v>61</v>
      </c>
      <c r="C19" s="3" t="s">
        <v>62</v>
      </c>
      <c r="D19" s="4">
        <v>21</v>
      </c>
      <c r="E19" s="9" t="s">
        <v>50</v>
      </c>
      <c r="F19" s="4"/>
      <c r="G19" s="4">
        <v>1</v>
      </c>
      <c r="H19" s="4"/>
      <c r="I19" s="4"/>
      <c r="J19" s="4"/>
      <c r="K19" s="4"/>
      <c r="L19" s="4"/>
      <c r="M19" s="4"/>
      <c r="N19" s="4"/>
      <c r="O19" s="4">
        <v>18</v>
      </c>
      <c r="P19" s="4"/>
      <c r="Q19" s="4"/>
      <c r="R19" s="4"/>
      <c r="S19" s="4"/>
      <c r="T19" s="4"/>
      <c r="U19" s="4"/>
      <c r="V19" s="4">
        <v>2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>
        <v>20</v>
      </c>
    </row>
    <row r="20" spans="1:33" x14ac:dyDescent="0.25">
      <c r="A20" s="3">
        <v>12</v>
      </c>
      <c r="B20" s="3" t="s">
        <v>61</v>
      </c>
      <c r="C20" s="3" t="s">
        <v>63</v>
      </c>
      <c r="D20" s="4">
        <v>19</v>
      </c>
      <c r="E20" s="9" t="s">
        <v>50</v>
      </c>
      <c r="F20" s="4"/>
      <c r="G20" s="4">
        <v>1</v>
      </c>
      <c r="H20" s="4"/>
      <c r="I20" s="4"/>
      <c r="J20" s="4"/>
      <c r="K20" s="4"/>
      <c r="L20" s="4"/>
      <c r="M20" s="4"/>
      <c r="N20" s="4"/>
      <c r="O20" s="4">
        <v>18</v>
      </c>
      <c r="P20" s="4"/>
      <c r="Q20" s="4"/>
      <c r="R20" s="4"/>
      <c r="S20" s="4"/>
      <c r="T20" s="4"/>
      <c r="U20" s="4"/>
      <c r="V20" s="4">
        <v>2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>
        <v>20</v>
      </c>
    </row>
    <row r="21" spans="1:33" x14ac:dyDescent="0.25">
      <c r="A21" s="3">
        <v>13</v>
      </c>
      <c r="B21" s="3" t="s">
        <v>61</v>
      </c>
      <c r="C21" s="3" t="s">
        <v>64</v>
      </c>
      <c r="D21" s="4">
        <v>40</v>
      </c>
      <c r="E21" s="9" t="s">
        <v>50</v>
      </c>
      <c r="F21" s="4">
        <v>2</v>
      </c>
      <c r="G21" s="4"/>
      <c r="H21" s="4"/>
      <c r="I21" s="4"/>
      <c r="J21" s="4"/>
      <c r="K21" s="4"/>
      <c r="L21" s="4"/>
      <c r="M21" s="4"/>
      <c r="N21" s="4">
        <v>36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>
        <v>36</v>
      </c>
    </row>
    <row r="22" spans="1:33" ht="24" x14ac:dyDescent="0.25">
      <c r="A22" s="3">
        <v>14</v>
      </c>
      <c r="B22" s="3" t="s">
        <v>65</v>
      </c>
      <c r="C22" s="3" t="s">
        <v>66</v>
      </c>
      <c r="D22" s="4">
        <v>10</v>
      </c>
      <c r="E22" s="9" t="s">
        <v>50</v>
      </c>
      <c r="F22" s="4">
        <v>2</v>
      </c>
      <c r="G22" s="4"/>
      <c r="H22" s="4">
        <v>2</v>
      </c>
      <c r="I22" s="4"/>
      <c r="J22" s="4"/>
      <c r="K22" s="4"/>
      <c r="L22" s="4"/>
      <c r="M22" s="4"/>
      <c r="N22" s="4">
        <v>36</v>
      </c>
      <c r="O22" s="4"/>
      <c r="P22" s="4">
        <v>36</v>
      </c>
      <c r="Q22" s="4"/>
      <c r="R22" s="4"/>
      <c r="S22" s="4"/>
      <c r="T22" s="4"/>
      <c r="U22" s="4"/>
      <c r="V22" s="4">
        <v>4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>
        <v>76</v>
      </c>
    </row>
    <row r="23" spans="1:33" x14ac:dyDescent="0.25">
      <c r="A23" s="3">
        <v>15</v>
      </c>
      <c r="B23" s="3" t="s">
        <v>67</v>
      </c>
      <c r="C23" s="3" t="s">
        <v>68</v>
      </c>
      <c r="D23" s="4">
        <v>5</v>
      </c>
      <c r="E23" s="9" t="s">
        <v>50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>
        <v>0</v>
      </c>
    </row>
    <row r="24" spans="1:33" x14ac:dyDescent="0.25">
      <c r="A24" s="18" t="s">
        <v>69</v>
      </c>
      <c r="B24" s="19" t="s">
        <v>0</v>
      </c>
      <c r="C24" s="19" t="s">
        <v>0</v>
      </c>
      <c r="D24" s="19" t="s">
        <v>0</v>
      </c>
      <c r="E24" s="9" t="s">
        <v>50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0</v>
      </c>
      <c r="K24" s="4" t="s">
        <v>0</v>
      </c>
      <c r="L24" s="4" t="s">
        <v>0</v>
      </c>
      <c r="M24" s="4" t="s">
        <v>0</v>
      </c>
      <c r="N24" s="4">
        <v>144</v>
      </c>
      <c r="O24" s="4">
        <v>180</v>
      </c>
      <c r="P24" s="4">
        <v>36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24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424</v>
      </c>
    </row>
    <row r="25" spans="1:33" x14ac:dyDescent="0.25">
      <c r="A25" s="23" t="s">
        <v>12</v>
      </c>
      <c r="B25" s="23" t="s">
        <v>13</v>
      </c>
      <c r="C25" s="23" t="s">
        <v>14</v>
      </c>
      <c r="D25" s="23" t="s">
        <v>15</v>
      </c>
      <c r="E25" s="23" t="s">
        <v>0</v>
      </c>
      <c r="F25" s="18" t="s">
        <v>70</v>
      </c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16" t="s">
        <v>0</v>
      </c>
      <c r="O25" s="16" t="s">
        <v>0</v>
      </c>
      <c r="P25" s="16" t="s">
        <v>0</v>
      </c>
      <c r="Q25" s="16" t="s">
        <v>0</v>
      </c>
      <c r="R25" s="16" t="s">
        <v>0</v>
      </c>
      <c r="S25" s="16" t="s">
        <v>0</v>
      </c>
      <c r="T25" s="16" t="s">
        <v>0</v>
      </c>
      <c r="U25" s="16" t="s">
        <v>0</v>
      </c>
      <c r="V25" s="16" t="s">
        <v>0</v>
      </c>
      <c r="W25" s="16" t="s">
        <v>0</v>
      </c>
      <c r="X25" s="16" t="s">
        <v>0</v>
      </c>
      <c r="Y25" s="16" t="s">
        <v>0</v>
      </c>
      <c r="Z25" s="16" t="s">
        <v>0</v>
      </c>
      <c r="AA25" s="16" t="s">
        <v>0</v>
      </c>
      <c r="AB25" s="16" t="s">
        <v>0</v>
      </c>
      <c r="AC25" s="16" t="s">
        <v>0</v>
      </c>
      <c r="AD25" s="16" t="s">
        <v>0</v>
      </c>
      <c r="AE25" s="16" t="s">
        <v>0</v>
      </c>
      <c r="AF25" s="16" t="s">
        <v>0</v>
      </c>
      <c r="AG25" s="16" t="s">
        <v>0</v>
      </c>
    </row>
    <row r="26" spans="1:33" x14ac:dyDescent="0.25">
      <c r="A26" s="16" t="s">
        <v>0</v>
      </c>
      <c r="B26" s="16" t="s">
        <v>0</v>
      </c>
      <c r="C26" s="16" t="s">
        <v>0</v>
      </c>
      <c r="D26" s="16" t="s">
        <v>0</v>
      </c>
      <c r="E26" s="16" t="s">
        <v>0</v>
      </c>
      <c r="F26" s="23" t="s">
        <v>17</v>
      </c>
      <c r="G26" s="16" t="s">
        <v>0</v>
      </c>
      <c r="H26" s="16" t="s">
        <v>0</v>
      </c>
      <c r="I26" s="22" t="s">
        <v>18</v>
      </c>
      <c r="J26" s="22" t="s">
        <v>0</v>
      </c>
      <c r="K26" s="22" t="s">
        <v>0</v>
      </c>
      <c r="L26" s="22" t="s">
        <v>0</v>
      </c>
      <c r="M26" s="22" t="s">
        <v>0</v>
      </c>
      <c r="N26" s="22" t="s">
        <v>19</v>
      </c>
      <c r="O26" s="22" t="s">
        <v>20</v>
      </c>
      <c r="P26" s="22" t="s">
        <v>21</v>
      </c>
      <c r="Q26" s="22" t="s">
        <v>22</v>
      </c>
      <c r="R26" s="22" t="s">
        <v>0</v>
      </c>
      <c r="S26" s="22" t="s">
        <v>0</v>
      </c>
      <c r="T26" s="22" t="s">
        <v>0</v>
      </c>
      <c r="U26" s="22" t="s">
        <v>0</v>
      </c>
      <c r="V26" s="22" t="s">
        <v>23</v>
      </c>
      <c r="W26" s="22" t="s">
        <v>0</v>
      </c>
      <c r="X26" s="22" t="s">
        <v>24</v>
      </c>
      <c r="Y26" s="22" t="s">
        <v>25</v>
      </c>
      <c r="Z26" s="22" t="s">
        <v>26</v>
      </c>
      <c r="AA26" s="22" t="s">
        <v>0</v>
      </c>
      <c r="AB26" s="22" t="s">
        <v>0</v>
      </c>
      <c r="AC26" s="22" t="s">
        <v>0</v>
      </c>
      <c r="AD26" s="22" t="s">
        <v>0</v>
      </c>
      <c r="AE26" s="22" t="s">
        <v>27</v>
      </c>
      <c r="AF26" s="22" t="s">
        <v>28</v>
      </c>
      <c r="AG26" s="24" t="s">
        <v>29</v>
      </c>
    </row>
    <row r="27" spans="1:33" x14ac:dyDescent="0.25">
      <c r="A27" s="22" t="s">
        <v>0</v>
      </c>
      <c r="B27" s="22" t="s">
        <v>0</v>
      </c>
      <c r="C27" s="22" t="s">
        <v>0</v>
      </c>
      <c r="D27" s="22" t="s">
        <v>0</v>
      </c>
      <c r="E27" s="22" t="s">
        <v>0</v>
      </c>
      <c r="F27" s="22" t="s">
        <v>0</v>
      </c>
      <c r="G27" s="22" t="s">
        <v>0</v>
      </c>
      <c r="H27" s="22" t="s">
        <v>0</v>
      </c>
      <c r="I27" s="22" t="s">
        <v>0</v>
      </c>
      <c r="J27" s="22" t="s">
        <v>0</v>
      </c>
      <c r="K27" s="22" t="s">
        <v>0</v>
      </c>
      <c r="L27" s="22" t="s">
        <v>0</v>
      </c>
      <c r="M27" s="22" t="s">
        <v>0</v>
      </c>
      <c r="N27" s="22" t="s">
        <v>0</v>
      </c>
      <c r="O27" s="22" t="s">
        <v>0</v>
      </c>
      <c r="P27" s="22" t="s">
        <v>0</v>
      </c>
      <c r="Q27" s="22" t="s">
        <v>30</v>
      </c>
      <c r="R27" s="22" t="s">
        <v>0</v>
      </c>
      <c r="S27" s="22" t="s">
        <v>31</v>
      </c>
      <c r="T27" s="22" t="s">
        <v>0</v>
      </c>
      <c r="U27" s="22" t="s">
        <v>0</v>
      </c>
      <c r="V27" s="22" t="s">
        <v>0</v>
      </c>
      <c r="W27" s="22" t="s">
        <v>0</v>
      </c>
      <c r="X27" s="22" t="s">
        <v>0</v>
      </c>
      <c r="Y27" s="22" t="s">
        <v>0</v>
      </c>
      <c r="Z27" s="22" t="s">
        <v>0</v>
      </c>
      <c r="AA27" s="22" t="s">
        <v>0</v>
      </c>
      <c r="AB27" s="22" t="s">
        <v>0</v>
      </c>
      <c r="AC27" s="22" t="s">
        <v>0</v>
      </c>
      <c r="AD27" s="22" t="s">
        <v>0</v>
      </c>
      <c r="AE27" s="22" t="s">
        <v>0</v>
      </c>
      <c r="AF27" s="22" t="s">
        <v>0</v>
      </c>
      <c r="AG27" s="25" t="s">
        <v>0</v>
      </c>
    </row>
    <row r="28" spans="1:33" x14ac:dyDescent="0.25">
      <c r="A28" s="16" t="s">
        <v>0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19</v>
      </c>
      <c r="G28" s="15" t="s">
        <v>20</v>
      </c>
      <c r="H28" s="15" t="s">
        <v>21</v>
      </c>
      <c r="I28" s="15" t="s">
        <v>32</v>
      </c>
      <c r="J28" s="15" t="s">
        <v>33</v>
      </c>
      <c r="K28" s="17" t="s">
        <v>34</v>
      </c>
      <c r="L28" s="17" t="s">
        <v>35</v>
      </c>
      <c r="M28" s="17" t="s">
        <v>36</v>
      </c>
      <c r="N28" s="16" t="s">
        <v>0</v>
      </c>
      <c r="O28" s="16" t="s">
        <v>0</v>
      </c>
      <c r="P28" s="16" t="s">
        <v>0</v>
      </c>
      <c r="Q28" s="15" t="s">
        <v>37</v>
      </c>
      <c r="R28" s="15" t="s">
        <v>38</v>
      </c>
      <c r="S28" s="15" t="s">
        <v>37</v>
      </c>
      <c r="T28" s="15" t="s">
        <v>39</v>
      </c>
      <c r="U28" s="15" t="s">
        <v>40</v>
      </c>
      <c r="V28" s="17" t="s">
        <v>41</v>
      </c>
      <c r="W28" s="17" t="s">
        <v>42</v>
      </c>
      <c r="X28" s="16" t="s">
        <v>0</v>
      </c>
      <c r="Y28" s="16" t="s">
        <v>0</v>
      </c>
      <c r="Z28" s="17" t="s">
        <v>43</v>
      </c>
      <c r="AA28" s="17" t="s">
        <v>44</v>
      </c>
      <c r="AB28" s="15" t="s">
        <v>45</v>
      </c>
      <c r="AC28" s="15" t="s">
        <v>46</v>
      </c>
      <c r="AD28" s="17" t="s">
        <v>47</v>
      </c>
      <c r="AE28" s="16" t="s">
        <v>0</v>
      </c>
      <c r="AF28" s="16" t="s">
        <v>0</v>
      </c>
      <c r="AG28" s="16" t="s">
        <v>0</v>
      </c>
    </row>
    <row r="29" spans="1:33" ht="9.9499999999999993" customHeight="1" x14ac:dyDescent="0.25">
      <c r="A29" s="16" t="s">
        <v>0</v>
      </c>
      <c r="B29" s="16" t="s">
        <v>0</v>
      </c>
      <c r="C29" s="16" t="s">
        <v>0</v>
      </c>
      <c r="D29" s="16" t="s">
        <v>0</v>
      </c>
      <c r="E29" s="16" t="s">
        <v>0</v>
      </c>
      <c r="F29" s="16" t="s">
        <v>0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 t="s">
        <v>0</v>
      </c>
      <c r="Q29" s="16" t="s">
        <v>0</v>
      </c>
      <c r="R29" s="16" t="s">
        <v>0</v>
      </c>
      <c r="S29" s="16" t="s">
        <v>0</v>
      </c>
      <c r="T29" s="16" t="s">
        <v>0</v>
      </c>
      <c r="U29" s="16" t="s">
        <v>0</v>
      </c>
      <c r="V29" s="16" t="s">
        <v>0</v>
      </c>
      <c r="W29" s="16" t="s">
        <v>0</v>
      </c>
      <c r="X29" s="16" t="s">
        <v>0</v>
      </c>
      <c r="Y29" s="16" t="s">
        <v>0</v>
      </c>
      <c r="Z29" s="16" t="s">
        <v>0</v>
      </c>
      <c r="AA29" s="16" t="s">
        <v>0</v>
      </c>
      <c r="AB29" s="16" t="s">
        <v>0</v>
      </c>
      <c r="AC29" s="16" t="s">
        <v>0</v>
      </c>
      <c r="AD29" s="16" t="s">
        <v>0</v>
      </c>
      <c r="AE29" s="16" t="s">
        <v>0</v>
      </c>
      <c r="AF29" s="16" t="s">
        <v>0</v>
      </c>
      <c r="AG29" s="16" t="s">
        <v>0</v>
      </c>
    </row>
    <row r="30" spans="1:33" x14ac:dyDescent="0.25">
      <c r="A30" s="3">
        <v>1</v>
      </c>
      <c r="B30" s="3" t="s">
        <v>71</v>
      </c>
      <c r="C30" s="3" t="s">
        <v>66</v>
      </c>
      <c r="D30" s="4">
        <v>10</v>
      </c>
      <c r="E30" s="9" t="s">
        <v>50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>
        <v>0</v>
      </c>
    </row>
    <row r="31" spans="1:33" x14ac:dyDescent="0.25">
      <c r="A31" s="3">
        <v>2</v>
      </c>
      <c r="B31" s="3" t="s">
        <v>72</v>
      </c>
      <c r="C31" s="3" t="s">
        <v>66</v>
      </c>
      <c r="D31" s="4">
        <v>10</v>
      </c>
      <c r="E31" s="9" t="s">
        <v>50</v>
      </c>
      <c r="F31" s="4"/>
      <c r="G31" s="4"/>
      <c r="H31" s="4"/>
      <c r="I31" s="4"/>
      <c r="J31" s="4"/>
      <c r="K31" s="4"/>
      <c r="L31" s="4" t="s">
        <v>73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20</v>
      </c>
      <c r="Z31" s="4"/>
      <c r="AA31" s="4"/>
      <c r="AB31" s="4"/>
      <c r="AC31" s="4"/>
      <c r="AD31" s="4"/>
      <c r="AE31" s="4"/>
      <c r="AF31" s="4"/>
      <c r="AG31" s="4">
        <v>20</v>
      </c>
    </row>
    <row r="32" spans="1:33" x14ac:dyDescent="0.25">
      <c r="A32" s="3">
        <v>3</v>
      </c>
      <c r="B32" s="3" t="s">
        <v>74</v>
      </c>
      <c r="C32" s="3" t="s">
        <v>75</v>
      </c>
      <c r="D32" s="4">
        <v>22</v>
      </c>
      <c r="E32" s="9" t="s">
        <v>50</v>
      </c>
      <c r="F32" s="4"/>
      <c r="G32" s="4"/>
      <c r="H32" s="4"/>
      <c r="I32" s="4"/>
      <c r="J32" s="4"/>
      <c r="K32" s="4"/>
      <c r="L32" s="4" t="s">
        <v>73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2</v>
      </c>
      <c r="Z32" s="4"/>
      <c r="AA32" s="4"/>
      <c r="AB32" s="4"/>
      <c r="AC32" s="4"/>
      <c r="AD32" s="4"/>
      <c r="AE32" s="4"/>
      <c r="AF32" s="4"/>
      <c r="AG32" s="4">
        <v>2</v>
      </c>
    </row>
    <row r="33" spans="1:33" x14ac:dyDescent="0.25">
      <c r="A33" s="3">
        <v>4</v>
      </c>
      <c r="B33" s="3" t="s">
        <v>59</v>
      </c>
      <c r="C33" s="3" t="s">
        <v>60</v>
      </c>
      <c r="D33" s="4">
        <v>13</v>
      </c>
      <c r="E33" s="9" t="s">
        <v>50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>
        <v>40</v>
      </c>
    </row>
    <row r="34" spans="1:33" ht="24" x14ac:dyDescent="0.25">
      <c r="A34" s="3">
        <v>5</v>
      </c>
      <c r="B34" s="3" t="s">
        <v>76</v>
      </c>
      <c r="C34" s="3" t="s">
        <v>77</v>
      </c>
      <c r="D34" s="4">
        <v>18</v>
      </c>
      <c r="E34" s="9" t="s">
        <v>50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>
        <v>0</v>
      </c>
    </row>
    <row r="35" spans="1:33" ht="24" x14ac:dyDescent="0.25">
      <c r="A35" s="3">
        <v>6</v>
      </c>
      <c r="B35" s="3" t="s">
        <v>76</v>
      </c>
      <c r="C35" s="3" t="s">
        <v>78</v>
      </c>
      <c r="D35" s="4">
        <v>17</v>
      </c>
      <c r="E35" s="9" t="s">
        <v>50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>
        <v>0</v>
      </c>
    </row>
    <row r="36" spans="1:33" ht="24" x14ac:dyDescent="0.25">
      <c r="A36" s="3">
        <v>7</v>
      </c>
      <c r="B36" s="3" t="s">
        <v>76</v>
      </c>
      <c r="C36" s="3" t="s">
        <v>79</v>
      </c>
      <c r="D36" s="4">
        <v>35</v>
      </c>
      <c r="E36" s="9" t="s">
        <v>50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>
        <v>0</v>
      </c>
    </row>
    <row r="37" spans="1:33" x14ac:dyDescent="0.25">
      <c r="A37" s="3">
        <v>8</v>
      </c>
      <c r="B37" s="3" t="s">
        <v>80</v>
      </c>
      <c r="C37" s="3" t="s">
        <v>75</v>
      </c>
      <c r="D37" s="4">
        <v>22</v>
      </c>
      <c r="E37" s="9" t="s">
        <v>50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>
        <v>4</v>
      </c>
      <c r="AB37" s="4"/>
      <c r="AC37" s="4"/>
      <c r="AD37" s="4"/>
      <c r="AE37" s="4"/>
      <c r="AF37" s="4"/>
      <c r="AG37" s="4">
        <v>4</v>
      </c>
    </row>
    <row r="38" spans="1:33" x14ac:dyDescent="0.25">
      <c r="A38" s="3">
        <v>9</v>
      </c>
      <c r="B38" s="3" t="s">
        <v>81</v>
      </c>
      <c r="C38" s="3" t="s">
        <v>66</v>
      </c>
      <c r="D38" s="4">
        <v>10</v>
      </c>
      <c r="E38" s="9" t="s">
        <v>50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>
        <v>12</v>
      </c>
      <c r="AB38" s="4"/>
      <c r="AC38" s="4"/>
      <c r="AD38" s="4"/>
      <c r="AE38" s="4"/>
      <c r="AF38" s="4"/>
      <c r="AG38" s="4">
        <v>12</v>
      </c>
    </row>
    <row r="39" spans="1:33" x14ac:dyDescent="0.25">
      <c r="A39" s="3">
        <v>10</v>
      </c>
      <c r="B39" s="3" t="s">
        <v>82</v>
      </c>
      <c r="C39" s="3" t="s">
        <v>66</v>
      </c>
      <c r="D39" s="4">
        <v>10</v>
      </c>
      <c r="E39" s="9" t="s">
        <v>50</v>
      </c>
      <c r="F39" s="4">
        <v>2</v>
      </c>
      <c r="G39" s="4"/>
      <c r="H39" s="4"/>
      <c r="I39" s="4"/>
      <c r="J39" s="4"/>
      <c r="K39" s="4"/>
      <c r="L39" s="4"/>
      <c r="M39" s="4"/>
      <c r="N39" s="4">
        <v>36</v>
      </c>
      <c r="O39" s="4"/>
      <c r="P39" s="4"/>
      <c r="Q39" s="4"/>
      <c r="R39" s="4"/>
      <c r="S39" s="4"/>
      <c r="T39" s="4"/>
      <c r="U39" s="4"/>
      <c r="V39" s="4">
        <v>4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>
        <v>40</v>
      </c>
    </row>
    <row r="40" spans="1:33" x14ac:dyDescent="0.25">
      <c r="A40" s="3">
        <v>11</v>
      </c>
      <c r="B40" s="3" t="s">
        <v>83</v>
      </c>
      <c r="C40" s="3" t="s">
        <v>75</v>
      </c>
      <c r="D40" s="4">
        <v>22</v>
      </c>
      <c r="E40" s="9" t="s">
        <v>50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v>0</v>
      </c>
    </row>
    <row r="41" spans="1:33" x14ac:dyDescent="0.25">
      <c r="A41" s="3">
        <v>12</v>
      </c>
      <c r="B41" s="3" t="s">
        <v>84</v>
      </c>
      <c r="C41" s="3" t="s">
        <v>62</v>
      </c>
      <c r="D41" s="4">
        <v>21</v>
      </c>
      <c r="E41" s="9" t="s">
        <v>50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>
        <v>40</v>
      </c>
      <c r="AA41" s="4"/>
      <c r="AB41" s="4"/>
      <c r="AC41" s="4"/>
      <c r="AD41" s="4"/>
      <c r="AE41" s="4"/>
      <c r="AF41" s="4"/>
      <c r="AG41" s="4">
        <v>40</v>
      </c>
    </row>
    <row r="42" spans="1:33" x14ac:dyDescent="0.25">
      <c r="A42" s="3">
        <v>13</v>
      </c>
      <c r="B42" s="3" t="s">
        <v>84</v>
      </c>
      <c r="C42" s="3" t="s">
        <v>63</v>
      </c>
      <c r="D42" s="4">
        <v>19</v>
      </c>
      <c r="E42" s="9" t="s">
        <v>50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>
        <v>10</v>
      </c>
      <c r="AA42" s="4"/>
      <c r="AB42" s="4"/>
      <c r="AC42" s="4"/>
      <c r="AD42" s="4"/>
      <c r="AE42" s="4"/>
      <c r="AF42" s="4"/>
      <c r="AG42" s="4">
        <v>10</v>
      </c>
    </row>
    <row r="43" spans="1:33" x14ac:dyDescent="0.25">
      <c r="A43" s="3">
        <v>14</v>
      </c>
      <c r="B43" s="3" t="s">
        <v>85</v>
      </c>
      <c r="C43" s="3" t="s">
        <v>86</v>
      </c>
      <c r="D43" s="4">
        <v>20</v>
      </c>
      <c r="E43" s="9" t="s">
        <v>50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>
        <v>54</v>
      </c>
      <c r="AA43" s="4"/>
      <c r="AB43" s="4"/>
      <c r="AC43" s="4"/>
      <c r="AD43" s="4"/>
      <c r="AE43" s="4"/>
      <c r="AF43" s="4"/>
      <c r="AG43" s="4">
        <v>54</v>
      </c>
    </row>
    <row r="44" spans="1:33" x14ac:dyDescent="0.25">
      <c r="A44" s="3">
        <v>15</v>
      </c>
      <c r="B44" s="3" t="s">
        <v>85</v>
      </c>
      <c r="C44" s="3" t="s">
        <v>87</v>
      </c>
      <c r="D44" s="4">
        <v>21</v>
      </c>
      <c r="E44" s="9" t="s">
        <v>50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>
        <v>54</v>
      </c>
      <c r="AA44" s="4"/>
      <c r="AB44" s="4"/>
      <c r="AC44" s="4"/>
      <c r="AD44" s="4"/>
      <c r="AE44" s="4"/>
      <c r="AF44" s="4"/>
      <c r="AG44" s="4">
        <v>54</v>
      </c>
    </row>
    <row r="45" spans="1:33" ht="24" x14ac:dyDescent="0.25">
      <c r="A45" s="3">
        <v>16</v>
      </c>
      <c r="B45" s="3" t="s">
        <v>88</v>
      </c>
      <c r="C45" s="3" t="s">
        <v>86</v>
      </c>
      <c r="D45" s="4">
        <v>20</v>
      </c>
      <c r="E45" s="9" t="s">
        <v>50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>
        <v>16</v>
      </c>
      <c r="AA45" s="4"/>
      <c r="AB45" s="4"/>
      <c r="AC45" s="4"/>
      <c r="AD45" s="4"/>
      <c r="AE45" s="4"/>
      <c r="AF45" s="4"/>
      <c r="AG45" s="4">
        <v>16</v>
      </c>
    </row>
    <row r="46" spans="1:33" ht="24" x14ac:dyDescent="0.25">
      <c r="A46" s="3">
        <v>17</v>
      </c>
      <c r="B46" s="3" t="s">
        <v>88</v>
      </c>
      <c r="C46" s="3" t="s">
        <v>87</v>
      </c>
      <c r="D46" s="4">
        <v>21</v>
      </c>
      <c r="E46" s="9" t="s">
        <v>50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>
        <v>16</v>
      </c>
      <c r="AA46" s="4"/>
      <c r="AB46" s="4"/>
      <c r="AC46" s="4"/>
      <c r="AD46" s="4"/>
      <c r="AE46" s="4"/>
      <c r="AF46" s="4"/>
      <c r="AG46" s="4">
        <v>16</v>
      </c>
    </row>
    <row r="47" spans="1:33" x14ac:dyDescent="0.25">
      <c r="A47" s="3">
        <v>18</v>
      </c>
      <c r="B47" s="3" t="s">
        <v>89</v>
      </c>
      <c r="C47" s="3" t="s">
        <v>77</v>
      </c>
      <c r="D47" s="4">
        <v>18</v>
      </c>
      <c r="E47" s="9" t="s">
        <v>50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>
        <v>30</v>
      </c>
      <c r="AA47" s="4"/>
      <c r="AB47" s="4"/>
      <c r="AC47" s="4"/>
      <c r="AD47" s="4"/>
      <c r="AE47" s="4"/>
      <c r="AF47" s="4"/>
      <c r="AG47" s="4">
        <v>30</v>
      </c>
    </row>
    <row r="48" spans="1:33" x14ac:dyDescent="0.25">
      <c r="A48" s="3">
        <v>19</v>
      </c>
      <c r="B48" s="3" t="s">
        <v>89</v>
      </c>
      <c r="C48" s="3" t="s">
        <v>78</v>
      </c>
      <c r="D48" s="4">
        <v>17</v>
      </c>
      <c r="E48" s="9" t="s">
        <v>50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>
        <v>60</v>
      </c>
      <c r="AA48" s="4"/>
      <c r="AB48" s="4"/>
      <c r="AC48" s="4"/>
      <c r="AD48" s="4"/>
      <c r="AE48" s="4"/>
      <c r="AF48" s="4"/>
      <c r="AG48" s="4">
        <v>60</v>
      </c>
    </row>
    <row r="49" spans="1:33" x14ac:dyDescent="0.25">
      <c r="A49" s="3">
        <v>20</v>
      </c>
      <c r="B49" s="3" t="s">
        <v>90</v>
      </c>
      <c r="C49" s="3" t="s">
        <v>75</v>
      </c>
      <c r="D49" s="4">
        <v>22</v>
      </c>
      <c r="E49" s="9" t="s">
        <v>50</v>
      </c>
      <c r="F49" s="4">
        <v>1</v>
      </c>
      <c r="G49" s="4">
        <v>1</v>
      </c>
      <c r="H49" s="4"/>
      <c r="I49" s="4"/>
      <c r="J49" s="4"/>
      <c r="K49" s="4"/>
      <c r="L49" s="4"/>
      <c r="M49" s="4"/>
      <c r="N49" s="4">
        <v>18</v>
      </c>
      <c r="O49" s="4">
        <v>18</v>
      </c>
      <c r="P49" s="4"/>
      <c r="Q49" s="4"/>
      <c r="R49" s="4"/>
      <c r="S49" s="4"/>
      <c r="T49" s="4"/>
      <c r="U49" s="4"/>
      <c r="V49" s="4">
        <v>2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>
        <v>38</v>
      </c>
    </row>
    <row r="50" spans="1:33" x14ac:dyDescent="0.25">
      <c r="A50" s="18" t="s">
        <v>91</v>
      </c>
      <c r="B50" s="19" t="s">
        <v>0</v>
      </c>
      <c r="C50" s="19" t="s">
        <v>0</v>
      </c>
      <c r="D50" s="19" t="s">
        <v>0</v>
      </c>
      <c r="E50" s="9" t="s">
        <v>50</v>
      </c>
      <c r="F50" s="4" t="s">
        <v>0</v>
      </c>
      <c r="G50" s="4" t="s">
        <v>0</v>
      </c>
      <c r="H50" s="4" t="s">
        <v>0</v>
      </c>
      <c r="I50" s="4" t="s">
        <v>0</v>
      </c>
      <c r="J50" s="4" t="s">
        <v>0</v>
      </c>
      <c r="K50" s="4" t="s">
        <v>0</v>
      </c>
      <c r="L50" s="4" t="s">
        <v>0</v>
      </c>
      <c r="M50" s="4" t="s">
        <v>0</v>
      </c>
      <c r="N50" s="4">
        <v>54</v>
      </c>
      <c r="O50" s="4">
        <v>18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6</v>
      </c>
      <c r="W50" s="4">
        <v>0</v>
      </c>
      <c r="X50" s="4">
        <v>0</v>
      </c>
      <c r="Y50" s="4">
        <v>22</v>
      </c>
      <c r="Z50" s="4">
        <v>280</v>
      </c>
      <c r="AA50" s="4">
        <v>16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436</v>
      </c>
    </row>
    <row r="51" spans="1:33" x14ac:dyDescent="0.25">
      <c r="A51" s="23" t="s">
        <v>12</v>
      </c>
      <c r="B51" s="23" t="s">
        <v>13</v>
      </c>
      <c r="C51" s="23" t="s">
        <v>14</v>
      </c>
      <c r="D51" s="23" t="s">
        <v>15</v>
      </c>
      <c r="E51" s="23" t="s">
        <v>0</v>
      </c>
      <c r="F51" s="18" t="s">
        <v>92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  <c r="S51" s="16" t="s">
        <v>0</v>
      </c>
      <c r="T51" s="16" t="s">
        <v>0</v>
      </c>
      <c r="U51" s="16" t="s">
        <v>0</v>
      </c>
      <c r="V51" s="16" t="s">
        <v>0</v>
      </c>
      <c r="W51" s="16" t="s">
        <v>0</v>
      </c>
      <c r="X51" s="16" t="s">
        <v>0</v>
      </c>
      <c r="Y51" s="16" t="s">
        <v>0</v>
      </c>
      <c r="Z51" s="16" t="s">
        <v>0</v>
      </c>
      <c r="AA51" s="16" t="s">
        <v>0</v>
      </c>
      <c r="AB51" s="16" t="s">
        <v>0</v>
      </c>
      <c r="AC51" s="16" t="s">
        <v>0</v>
      </c>
      <c r="AD51" s="16" t="s">
        <v>0</v>
      </c>
      <c r="AE51" s="16" t="s">
        <v>0</v>
      </c>
      <c r="AF51" s="16" t="s">
        <v>0</v>
      </c>
      <c r="AG51" s="16" t="s">
        <v>0</v>
      </c>
    </row>
    <row r="52" spans="1:33" x14ac:dyDescent="0.25">
      <c r="A52" s="16" t="s">
        <v>0</v>
      </c>
      <c r="B52" s="16" t="s">
        <v>0</v>
      </c>
      <c r="C52" s="16" t="s">
        <v>0</v>
      </c>
      <c r="D52" s="16" t="s">
        <v>0</v>
      </c>
      <c r="E52" s="16" t="s">
        <v>0</v>
      </c>
      <c r="F52" s="23" t="s">
        <v>17</v>
      </c>
      <c r="G52" s="16" t="s">
        <v>0</v>
      </c>
      <c r="H52" s="16" t="s">
        <v>0</v>
      </c>
      <c r="I52" s="22" t="s">
        <v>18</v>
      </c>
      <c r="J52" s="22" t="s">
        <v>0</v>
      </c>
      <c r="K52" s="22" t="s">
        <v>0</v>
      </c>
      <c r="L52" s="22" t="s">
        <v>0</v>
      </c>
      <c r="M52" s="22" t="s">
        <v>0</v>
      </c>
      <c r="N52" s="22" t="s">
        <v>19</v>
      </c>
      <c r="O52" s="22" t="s">
        <v>20</v>
      </c>
      <c r="P52" s="22" t="s">
        <v>21</v>
      </c>
      <c r="Q52" s="22" t="s">
        <v>22</v>
      </c>
      <c r="R52" s="22" t="s">
        <v>0</v>
      </c>
      <c r="S52" s="22" t="s">
        <v>0</v>
      </c>
      <c r="T52" s="22" t="s">
        <v>0</v>
      </c>
      <c r="U52" s="22" t="s">
        <v>0</v>
      </c>
      <c r="V52" s="22" t="s">
        <v>23</v>
      </c>
      <c r="W52" s="22" t="s">
        <v>0</v>
      </c>
      <c r="X52" s="22" t="s">
        <v>24</v>
      </c>
      <c r="Y52" s="22" t="s">
        <v>25</v>
      </c>
      <c r="Z52" s="22" t="s">
        <v>26</v>
      </c>
      <c r="AA52" s="22" t="s">
        <v>0</v>
      </c>
      <c r="AB52" s="22" t="s">
        <v>0</v>
      </c>
      <c r="AC52" s="22" t="s">
        <v>0</v>
      </c>
      <c r="AD52" s="22" t="s">
        <v>0</v>
      </c>
      <c r="AE52" s="22" t="s">
        <v>27</v>
      </c>
      <c r="AF52" s="22" t="s">
        <v>28</v>
      </c>
      <c r="AG52" s="24" t="s">
        <v>29</v>
      </c>
    </row>
    <row r="53" spans="1:33" x14ac:dyDescent="0.25">
      <c r="A53" s="22" t="s">
        <v>0</v>
      </c>
      <c r="B53" s="22" t="s">
        <v>0</v>
      </c>
      <c r="C53" s="22" t="s">
        <v>0</v>
      </c>
      <c r="D53" s="22" t="s">
        <v>0</v>
      </c>
      <c r="E53" s="22" t="s">
        <v>0</v>
      </c>
      <c r="F53" s="22" t="s">
        <v>0</v>
      </c>
      <c r="G53" s="22" t="s">
        <v>0</v>
      </c>
      <c r="H53" s="22" t="s">
        <v>0</v>
      </c>
      <c r="I53" s="22" t="s">
        <v>0</v>
      </c>
      <c r="J53" s="22" t="s">
        <v>0</v>
      </c>
      <c r="K53" s="22" t="s">
        <v>0</v>
      </c>
      <c r="L53" s="22" t="s">
        <v>0</v>
      </c>
      <c r="M53" s="22" t="s">
        <v>0</v>
      </c>
      <c r="N53" s="22" t="s">
        <v>0</v>
      </c>
      <c r="O53" s="22" t="s">
        <v>0</v>
      </c>
      <c r="P53" s="22" t="s">
        <v>0</v>
      </c>
      <c r="Q53" s="22" t="s">
        <v>30</v>
      </c>
      <c r="R53" s="22" t="s">
        <v>0</v>
      </c>
      <c r="S53" s="22" t="s">
        <v>31</v>
      </c>
      <c r="T53" s="22" t="s">
        <v>0</v>
      </c>
      <c r="U53" s="22" t="s">
        <v>0</v>
      </c>
      <c r="V53" s="22" t="s">
        <v>0</v>
      </c>
      <c r="W53" s="22" t="s">
        <v>0</v>
      </c>
      <c r="X53" s="22" t="s">
        <v>0</v>
      </c>
      <c r="Y53" s="22" t="s">
        <v>0</v>
      </c>
      <c r="Z53" s="22" t="s">
        <v>0</v>
      </c>
      <c r="AA53" s="22" t="s">
        <v>0</v>
      </c>
      <c r="AB53" s="22" t="s">
        <v>0</v>
      </c>
      <c r="AC53" s="22" t="s">
        <v>0</v>
      </c>
      <c r="AD53" s="22" t="s">
        <v>0</v>
      </c>
      <c r="AE53" s="22" t="s">
        <v>0</v>
      </c>
      <c r="AF53" s="22" t="s">
        <v>0</v>
      </c>
      <c r="AG53" s="25" t="s">
        <v>0</v>
      </c>
    </row>
    <row r="54" spans="1:33" x14ac:dyDescent="0.25">
      <c r="A54" s="16" t="s">
        <v>0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19</v>
      </c>
      <c r="G54" s="15" t="s">
        <v>20</v>
      </c>
      <c r="H54" s="15" t="s">
        <v>21</v>
      </c>
      <c r="I54" s="15" t="s">
        <v>32</v>
      </c>
      <c r="J54" s="15" t="s">
        <v>33</v>
      </c>
      <c r="K54" s="17" t="s">
        <v>34</v>
      </c>
      <c r="L54" s="17" t="s">
        <v>35</v>
      </c>
      <c r="M54" s="17" t="s">
        <v>36</v>
      </c>
      <c r="N54" s="16" t="s">
        <v>0</v>
      </c>
      <c r="O54" s="16" t="s">
        <v>0</v>
      </c>
      <c r="P54" s="16" t="s">
        <v>0</v>
      </c>
      <c r="Q54" s="15" t="s">
        <v>37</v>
      </c>
      <c r="R54" s="15" t="s">
        <v>38</v>
      </c>
      <c r="S54" s="15" t="s">
        <v>37</v>
      </c>
      <c r="T54" s="15" t="s">
        <v>39</v>
      </c>
      <c r="U54" s="15" t="s">
        <v>40</v>
      </c>
      <c r="V54" s="17" t="s">
        <v>41</v>
      </c>
      <c r="W54" s="17" t="s">
        <v>42</v>
      </c>
      <c r="X54" s="16" t="s">
        <v>0</v>
      </c>
      <c r="Y54" s="16" t="s">
        <v>0</v>
      </c>
      <c r="Z54" s="17" t="s">
        <v>43</v>
      </c>
      <c r="AA54" s="17" t="s">
        <v>44</v>
      </c>
      <c r="AB54" s="15" t="s">
        <v>45</v>
      </c>
      <c r="AC54" s="15" t="s">
        <v>46</v>
      </c>
      <c r="AD54" s="17" t="s">
        <v>47</v>
      </c>
      <c r="AE54" s="16" t="s">
        <v>0</v>
      </c>
      <c r="AF54" s="16" t="s">
        <v>0</v>
      </c>
      <c r="AG54" s="16" t="s">
        <v>0</v>
      </c>
    </row>
    <row r="55" spans="1:33" ht="9.9499999999999993" customHeight="1" x14ac:dyDescent="0.25">
      <c r="A55" s="16" t="s">
        <v>0</v>
      </c>
      <c r="B55" s="16" t="s">
        <v>0</v>
      </c>
      <c r="C55" s="16" t="s">
        <v>0</v>
      </c>
      <c r="D55" s="16" t="s">
        <v>0</v>
      </c>
      <c r="E55" s="16" t="s">
        <v>0</v>
      </c>
      <c r="F55" s="16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  <c r="S55" s="16" t="s">
        <v>0</v>
      </c>
      <c r="T55" s="16" t="s">
        <v>0</v>
      </c>
      <c r="U55" s="16" t="s">
        <v>0</v>
      </c>
      <c r="V55" s="16" t="s">
        <v>0</v>
      </c>
      <c r="W55" s="16" t="s">
        <v>0</v>
      </c>
      <c r="X55" s="16" t="s">
        <v>0</v>
      </c>
      <c r="Y55" s="16" t="s">
        <v>0</v>
      </c>
      <c r="Z55" s="16" t="s">
        <v>0</v>
      </c>
      <c r="AA55" s="16" t="s">
        <v>0</v>
      </c>
      <c r="AB55" s="16" t="s">
        <v>0</v>
      </c>
      <c r="AC55" s="16" t="s">
        <v>0</v>
      </c>
      <c r="AD55" s="16" t="s">
        <v>0</v>
      </c>
      <c r="AE55" s="16" t="s">
        <v>0</v>
      </c>
      <c r="AF55" s="16" t="s">
        <v>0</v>
      </c>
      <c r="AG55" s="16" t="s">
        <v>0</v>
      </c>
    </row>
    <row r="56" spans="1:33" x14ac:dyDescent="0.25">
      <c r="A56" s="18" t="s">
        <v>93</v>
      </c>
      <c r="B56" s="19" t="s">
        <v>0</v>
      </c>
      <c r="C56" s="19" t="s">
        <v>0</v>
      </c>
      <c r="D56" s="19" t="s">
        <v>0</v>
      </c>
      <c r="E56" s="9" t="s">
        <v>50</v>
      </c>
      <c r="F56" s="4" t="s">
        <v>0</v>
      </c>
      <c r="G56" s="4" t="s">
        <v>0</v>
      </c>
      <c r="H56" s="4" t="s">
        <v>0</v>
      </c>
      <c r="I56" s="4" t="s">
        <v>0</v>
      </c>
      <c r="J56" s="4" t="s">
        <v>0</v>
      </c>
      <c r="K56" s="4" t="s">
        <v>0</v>
      </c>
      <c r="L56" s="4" t="s">
        <v>0</v>
      </c>
      <c r="M56" s="4" t="s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</row>
    <row r="57" spans="1:33" x14ac:dyDescent="0.25">
      <c r="A57" s="23" t="s">
        <v>12</v>
      </c>
      <c r="B57" s="23" t="s">
        <v>13</v>
      </c>
      <c r="C57" s="23" t="s">
        <v>14</v>
      </c>
      <c r="D57" s="23" t="s">
        <v>15</v>
      </c>
      <c r="E57" s="23" t="s">
        <v>0</v>
      </c>
      <c r="F57" s="18" t="s">
        <v>94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  <c r="S57" s="16" t="s">
        <v>0</v>
      </c>
      <c r="T57" s="16" t="s">
        <v>0</v>
      </c>
      <c r="U57" s="16" t="s">
        <v>0</v>
      </c>
      <c r="V57" s="16" t="s">
        <v>0</v>
      </c>
      <c r="W57" s="16" t="s">
        <v>0</v>
      </c>
      <c r="X57" s="16" t="s">
        <v>0</v>
      </c>
      <c r="Y57" s="16" t="s">
        <v>0</v>
      </c>
      <c r="Z57" s="16" t="s">
        <v>0</v>
      </c>
      <c r="AA57" s="16" t="s">
        <v>0</v>
      </c>
      <c r="AB57" s="16" t="s">
        <v>0</v>
      </c>
      <c r="AC57" s="16" t="s">
        <v>0</v>
      </c>
      <c r="AD57" s="16" t="s">
        <v>0</v>
      </c>
      <c r="AE57" s="16" t="s">
        <v>0</v>
      </c>
      <c r="AF57" s="16" t="s">
        <v>0</v>
      </c>
      <c r="AG57" s="16" t="s">
        <v>0</v>
      </c>
    </row>
    <row r="58" spans="1:33" x14ac:dyDescent="0.25">
      <c r="A58" s="16" t="s">
        <v>0</v>
      </c>
      <c r="B58" s="16" t="s">
        <v>0</v>
      </c>
      <c r="C58" s="16" t="s">
        <v>0</v>
      </c>
      <c r="D58" s="16" t="s">
        <v>0</v>
      </c>
      <c r="E58" s="16" t="s">
        <v>0</v>
      </c>
      <c r="F58" s="23" t="s">
        <v>17</v>
      </c>
      <c r="G58" s="16" t="s">
        <v>0</v>
      </c>
      <c r="H58" s="16" t="s">
        <v>0</v>
      </c>
      <c r="I58" s="22" t="s">
        <v>18</v>
      </c>
      <c r="J58" s="22" t="s">
        <v>0</v>
      </c>
      <c r="K58" s="22" t="s">
        <v>0</v>
      </c>
      <c r="L58" s="22" t="s">
        <v>0</v>
      </c>
      <c r="M58" s="22" t="s">
        <v>0</v>
      </c>
      <c r="N58" s="22" t="s">
        <v>19</v>
      </c>
      <c r="O58" s="22" t="s">
        <v>20</v>
      </c>
      <c r="P58" s="22" t="s">
        <v>21</v>
      </c>
      <c r="Q58" s="22" t="s">
        <v>22</v>
      </c>
      <c r="R58" s="22" t="s">
        <v>0</v>
      </c>
      <c r="S58" s="22" t="s">
        <v>0</v>
      </c>
      <c r="T58" s="22" t="s">
        <v>0</v>
      </c>
      <c r="U58" s="22" t="s">
        <v>0</v>
      </c>
      <c r="V58" s="22" t="s">
        <v>23</v>
      </c>
      <c r="W58" s="22" t="s">
        <v>0</v>
      </c>
      <c r="X58" s="22" t="s">
        <v>24</v>
      </c>
      <c r="Y58" s="22" t="s">
        <v>25</v>
      </c>
      <c r="Z58" s="22" t="s">
        <v>26</v>
      </c>
      <c r="AA58" s="22" t="s">
        <v>0</v>
      </c>
      <c r="AB58" s="22" t="s">
        <v>0</v>
      </c>
      <c r="AC58" s="22" t="s">
        <v>0</v>
      </c>
      <c r="AD58" s="22" t="s">
        <v>0</v>
      </c>
      <c r="AE58" s="22" t="s">
        <v>27</v>
      </c>
      <c r="AF58" s="22" t="s">
        <v>28</v>
      </c>
      <c r="AG58" s="24" t="s">
        <v>29</v>
      </c>
    </row>
    <row r="59" spans="1:33" x14ac:dyDescent="0.25">
      <c r="A59" s="22" t="s">
        <v>0</v>
      </c>
      <c r="B59" s="22" t="s">
        <v>0</v>
      </c>
      <c r="C59" s="22" t="s">
        <v>0</v>
      </c>
      <c r="D59" s="22" t="s">
        <v>0</v>
      </c>
      <c r="E59" s="22" t="s">
        <v>0</v>
      </c>
      <c r="F59" s="22" t="s">
        <v>0</v>
      </c>
      <c r="G59" s="22" t="s">
        <v>0</v>
      </c>
      <c r="H59" s="22" t="s">
        <v>0</v>
      </c>
      <c r="I59" s="22" t="s">
        <v>0</v>
      </c>
      <c r="J59" s="22" t="s">
        <v>0</v>
      </c>
      <c r="K59" s="22" t="s">
        <v>0</v>
      </c>
      <c r="L59" s="22" t="s">
        <v>0</v>
      </c>
      <c r="M59" s="22" t="s">
        <v>0</v>
      </c>
      <c r="N59" s="22" t="s">
        <v>0</v>
      </c>
      <c r="O59" s="22" t="s">
        <v>0</v>
      </c>
      <c r="P59" s="22" t="s">
        <v>0</v>
      </c>
      <c r="Q59" s="22" t="s">
        <v>30</v>
      </c>
      <c r="R59" s="22" t="s">
        <v>0</v>
      </c>
      <c r="S59" s="22" t="s">
        <v>31</v>
      </c>
      <c r="T59" s="22" t="s">
        <v>0</v>
      </c>
      <c r="U59" s="22" t="s">
        <v>0</v>
      </c>
      <c r="V59" s="22" t="s">
        <v>0</v>
      </c>
      <c r="W59" s="22" t="s">
        <v>0</v>
      </c>
      <c r="X59" s="22" t="s">
        <v>0</v>
      </c>
      <c r="Y59" s="22" t="s">
        <v>0</v>
      </c>
      <c r="Z59" s="22" t="s">
        <v>0</v>
      </c>
      <c r="AA59" s="22" t="s">
        <v>0</v>
      </c>
      <c r="AB59" s="22" t="s">
        <v>0</v>
      </c>
      <c r="AC59" s="22" t="s">
        <v>0</v>
      </c>
      <c r="AD59" s="22" t="s">
        <v>0</v>
      </c>
      <c r="AE59" s="22" t="s">
        <v>0</v>
      </c>
      <c r="AF59" s="22" t="s">
        <v>0</v>
      </c>
      <c r="AG59" s="25" t="s">
        <v>0</v>
      </c>
    </row>
    <row r="60" spans="1:33" x14ac:dyDescent="0.25">
      <c r="A60" s="16" t="s">
        <v>0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19</v>
      </c>
      <c r="G60" s="15" t="s">
        <v>20</v>
      </c>
      <c r="H60" s="15" t="s">
        <v>21</v>
      </c>
      <c r="I60" s="15" t="s">
        <v>32</v>
      </c>
      <c r="J60" s="15" t="s">
        <v>33</v>
      </c>
      <c r="K60" s="17" t="s">
        <v>34</v>
      </c>
      <c r="L60" s="17" t="s">
        <v>35</v>
      </c>
      <c r="M60" s="17" t="s">
        <v>36</v>
      </c>
      <c r="N60" s="16" t="s">
        <v>0</v>
      </c>
      <c r="O60" s="16" t="s">
        <v>0</v>
      </c>
      <c r="P60" s="16" t="s">
        <v>0</v>
      </c>
      <c r="Q60" s="15" t="s">
        <v>37</v>
      </c>
      <c r="R60" s="15" t="s">
        <v>38</v>
      </c>
      <c r="S60" s="15" t="s">
        <v>37</v>
      </c>
      <c r="T60" s="15" t="s">
        <v>39</v>
      </c>
      <c r="U60" s="15" t="s">
        <v>40</v>
      </c>
      <c r="V60" s="17" t="s">
        <v>41</v>
      </c>
      <c r="W60" s="17" t="s">
        <v>42</v>
      </c>
      <c r="X60" s="16" t="s">
        <v>0</v>
      </c>
      <c r="Y60" s="16" t="s">
        <v>0</v>
      </c>
      <c r="Z60" s="17" t="s">
        <v>43</v>
      </c>
      <c r="AA60" s="17" t="s">
        <v>44</v>
      </c>
      <c r="AB60" s="15" t="s">
        <v>45</v>
      </c>
      <c r="AC60" s="15" t="s">
        <v>46</v>
      </c>
      <c r="AD60" s="17" t="s">
        <v>47</v>
      </c>
      <c r="AE60" s="16" t="s">
        <v>0</v>
      </c>
      <c r="AF60" s="16" t="s">
        <v>0</v>
      </c>
      <c r="AG60" s="16" t="s">
        <v>0</v>
      </c>
    </row>
    <row r="61" spans="1:33" ht="9.9499999999999993" customHeight="1" x14ac:dyDescent="0.25">
      <c r="A61" s="16" t="s">
        <v>0</v>
      </c>
      <c r="B61" s="16" t="s">
        <v>0</v>
      </c>
      <c r="C61" s="16" t="s">
        <v>0</v>
      </c>
      <c r="D61" s="16" t="s">
        <v>0</v>
      </c>
      <c r="E61" s="16" t="s">
        <v>0</v>
      </c>
      <c r="F61" s="16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  <c r="S61" s="16" t="s">
        <v>0</v>
      </c>
      <c r="T61" s="16" t="s">
        <v>0</v>
      </c>
      <c r="U61" s="16" t="s">
        <v>0</v>
      </c>
      <c r="V61" s="16" t="s">
        <v>0</v>
      </c>
      <c r="W61" s="16" t="s">
        <v>0</v>
      </c>
      <c r="X61" s="16" t="s">
        <v>0</v>
      </c>
      <c r="Y61" s="16" t="s">
        <v>0</v>
      </c>
      <c r="Z61" s="16" t="s">
        <v>0</v>
      </c>
      <c r="AA61" s="16" t="s">
        <v>0</v>
      </c>
      <c r="AB61" s="16" t="s">
        <v>0</v>
      </c>
      <c r="AC61" s="16" t="s">
        <v>0</v>
      </c>
      <c r="AD61" s="16" t="s">
        <v>0</v>
      </c>
      <c r="AE61" s="16" t="s">
        <v>0</v>
      </c>
      <c r="AF61" s="16" t="s">
        <v>0</v>
      </c>
      <c r="AG61" s="16" t="s">
        <v>0</v>
      </c>
    </row>
    <row r="62" spans="1:33" x14ac:dyDescent="0.25">
      <c r="A62" s="18" t="s">
        <v>95</v>
      </c>
      <c r="B62" s="19" t="s">
        <v>0</v>
      </c>
      <c r="C62" s="19" t="s">
        <v>0</v>
      </c>
      <c r="D62" s="19" t="s">
        <v>0</v>
      </c>
      <c r="E62" s="9" t="s">
        <v>50</v>
      </c>
      <c r="F62" s="4" t="s">
        <v>0</v>
      </c>
      <c r="G62" s="4" t="s">
        <v>0</v>
      </c>
      <c r="H62" s="4" t="s">
        <v>0</v>
      </c>
      <c r="I62" s="4" t="s">
        <v>0</v>
      </c>
      <c r="J62" s="4" t="s">
        <v>0</v>
      </c>
      <c r="K62" s="4" t="s">
        <v>0</v>
      </c>
      <c r="L62" s="4" t="s">
        <v>0</v>
      </c>
      <c r="M62" s="4" t="s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</row>
    <row r="63" spans="1:33" x14ac:dyDescent="0.25">
      <c r="A63" s="18" t="s">
        <v>96</v>
      </c>
      <c r="B63" s="20" t="s">
        <v>0</v>
      </c>
      <c r="C63" s="20" t="s">
        <v>0</v>
      </c>
      <c r="D63" s="20" t="s">
        <v>0</v>
      </c>
      <c r="E63" s="4" t="s">
        <v>50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4">
        <v>198</v>
      </c>
      <c r="O63" s="4">
        <v>198</v>
      </c>
      <c r="P63" s="4">
        <v>36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30</v>
      </c>
      <c r="W63" s="4">
        <v>0</v>
      </c>
      <c r="X63" s="4">
        <v>0</v>
      </c>
      <c r="Y63" s="4">
        <v>22</v>
      </c>
      <c r="Z63" s="4">
        <v>280</v>
      </c>
      <c r="AA63" s="4">
        <v>16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860</v>
      </c>
    </row>
    <row r="65" spans="1:33" x14ac:dyDescent="0.25">
      <c r="A65" s="10" t="s">
        <v>97</v>
      </c>
      <c r="B65" s="11"/>
      <c r="C65" s="11"/>
      <c r="Y65" s="21" t="s">
        <v>98</v>
      </c>
      <c r="Z65" s="11"/>
      <c r="AA65" s="11"/>
      <c r="AB65" s="11"/>
      <c r="AC65" s="11"/>
      <c r="AD65" s="11"/>
      <c r="AE65" s="11"/>
      <c r="AF65" s="11"/>
      <c r="AG65" s="11"/>
    </row>
  </sheetData>
  <mergeCells count="174">
    <mergeCell ref="AE5:AE8"/>
    <mergeCell ref="AF5:AF8"/>
    <mergeCell ref="AC7:AC8"/>
    <mergeCell ref="AD7:AD8"/>
    <mergeCell ref="A1:AG1"/>
    <mergeCell ref="A2:AG2"/>
    <mergeCell ref="A3:AG3"/>
    <mergeCell ref="A4:A8"/>
    <mergeCell ref="B4:B8"/>
    <mergeCell ref="C4:C8"/>
    <mergeCell ref="D4:D8"/>
    <mergeCell ref="E4:E8"/>
    <mergeCell ref="F4:AG4"/>
    <mergeCell ref="F5:H6"/>
    <mergeCell ref="I5:M6"/>
    <mergeCell ref="N5:N8"/>
    <mergeCell ref="O5:O8"/>
    <mergeCell ref="P5:P8"/>
    <mergeCell ref="Q5:U5"/>
    <mergeCell ref="V5:W6"/>
    <mergeCell ref="V7:V8"/>
    <mergeCell ref="W7:W8"/>
    <mergeCell ref="Z7:Z8"/>
    <mergeCell ref="AA7:AA8"/>
    <mergeCell ref="AB7:AB8"/>
    <mergeCell ref="AG5:AG8"/>
    <mergeCell ref="Q6:R6"/>
    <mergeCell ref="S6:U6"/>
    <mergeCell ref="F7:F8"/>
    <mergeCell ref="G7:G8"/>
    <mergeCell ref="H7:H8"/>
    <mergeCell ref="I7:I8"/>
    <mergeCell ref="J7:J8"/>
    <mergeCell ref="K7:K8"/>
    <mergeCell ref="L7:L8"/>
    <mergeCell ref="M7:M8"/>
    <mergeCell ref="Q7:Q8"/>
    <mergeCell ref="R7:R8"/>
    <mergeCell ref="S7:S8"/>
    <mergeCell ref="T7:T8"/>
    <mergeCell ref="U7:U8"/>
    <mergeCell ref="X5:X8"/>
    <mergeCell ref="Y5:Y8"/>
    <mergeCell ref="Z5:AD6"/>
    <mergeCell ref="X26:X29"/>
    <mergeCell ref="Y26:Y29"/>
    <mergeCell ref="Z26:AD27"/>
    <mergeCell ref="AE26:AE29"/>
    <mergeCell ref="AF26:AF29"/>
    <mergeCell ref="AG26:AG29"/>
    <mergeCell ref="Q27:R27"/>
    <mergeCell ref="A24:D24"/>
    <mergeCell ref="A25:A29"/>
    <mergeCell ref="B25:B29"/>
    <mergeCell ref="C25:C29"/>
    <mergeCell ref="D25:D29"/>
    <mergeCell ref="S27:U27"/>
    <mergeCell ref="F28:F29"/>
    <mergeCell ref="G28:G29"/>
    <mergeCell ref="H28:H29"/>
    <mergeCell ref="I28:I29"/>
    <mergeCell ref="J28:J29"/>
    <mergeCell ref="K28:K29"/>
    <mergeCell ref="L28:L29"/>
    <mergeCell ref="M28:M29"/>
    <mergeCell ref="Q28:Q29"/>
    <mergeCell ref="R28:R29"/>
    <mergeCell ref="S28:S29"/>
    <mergeCell ref="T28:T29"/>
    <mergeCell ref="U28:U29"/>
    <mergeCell ref="F26:H27"/>
    <mergeCell ref="I26:M27"/>
    <mergeCell ref="N26:N29"/>
    <mergeCell ref="O26:O29"/>
    <mergeCell ref="P26:P29"/>
    <mergeCell ref="Q26:U26"/>
    <mergeCell ref="AC28:AC29"/>
    <mergeCell ref="AD28:AD29"/>
    <mergeCell ref="A50:D50"/>
    <mergeCell ref="A51:A55"/>
    <mergeCell ref="B51:B55"/>
    <mergeCell ref="C51:C55"/>
    <mergeCell ref="D51:D55"/>
    <mergeCell ref="E51:E55"/>
    <mergeCell ref="F51:AG51"/>
    <mergeCell ref="F52:H53"/>
    <mergeCell ref="I52:M53"/>
    <mergeCell ref="N52:N55"/>
    <mergeCell ref="O52:O55"/>
    <mergeCell ref="P52:P55"/>
    <mergeCell ref="Q52:U52"/>
    <mergeCell ref="V52:W53"/>
    <mergeCell ref="V28:V29"/>
    <mergeCell ref="W28:W29"/>
    <mergeCell ref="Z28:Z29"/>
    <mergeCell ref="AA28:AA29"/>
    <mergeCell ref="AB28:AB29"/>
    <mergeCell ref="E25:E29"/>
    <mergeCell ref="F25:AG25"/>
    <mergeCell ref="V26:W27"/>
    <mergeCell ref="AB54:AB55"/>
    <mergeCell ref="AG52:AG55"/>
    <mergeCell ref="Q53:R53"/>
    <mergeCell ref="S53:U53"/>
    <mergeCell ref="F54:F55"/>
    <mergeCell ref="G54:G55"/>
    <mergeCell ref="H54:H55"/>
    <mergeCell ref="I54:I55"/>
    <mergeCell ref="J54:J55"/>
    <mergeCell ref="K54:K55"/>
    <mergeCell ref="L54:L55"/>
    <mergeCell ref="M54:M55"/>
    <mergeCell ref="Q54:Q55"/>
    <mergeCell ref="R54:R55"/>
    <mergeCell ref="S54:S55"/>
    <mergeCell ref="T54:T55"/>
    <mergeCell ref="U54:U55"/>
    <mergeCell ref="X52:X55"/>
    <mergeCell ref="Y52:Y55"/>
    <mergeCell ref="Z52:AD53"/>
    <mergeCell ref="AE52:AE55"/>
    <mergeCell ref="AF52:AF55"/>
    <mergeCell ref="AC54:AC55"/>
    <mergeCell ref="AD54:AD55"/>
    <mergeCell ref="A56:D56"/>
    <mergeCell ref="A57:A61"/>
    <mergeCell ref="B57:B61"/>
    <mergeCell ref="C57:C61"/>
    <mergeCell ref="D57:D61"/>
    <mergeCell ref="V54:V55"/>
    <mergeCell ref="W54:W55"/>
    <mergeCell ref="Z54:Z55"/>
    <mergeCell ref="AA54:AA55"/>
    <mergeCell ref="S59:U59"/>
    <mergeCell ref="F60:F61"/>
    <mergeCell ref="G60:G61"/>
    <mergeCell ref="H60:H61"/>
    <mergeCell ref="I60:I61"/>
    <mergeCell ref="J60:J61"/>
    <mergeCell ref="K60:K61"/>
    <mergeCell ref="L60:L61"/>
    <mergeCell ref="M60:M61"/>
    <mergeCell ref="Q60:Q61"/>
    <mergeCell ref="R60:R61"/>
    <mergeCell ref="S60:S61"/>
    <mergeCell ref="T60:T61"/>
    <mergeCell ref="U60:U61"/>
    <mergeCell ref="F58:H59"/>
    <mergeCell ref="I58:M59"/>
    <mergeCell ref="N58:N61"/>
    <mergeCell ref="O58:O61"/>
    <mergeCell ref="P58:P61"/>
    <mergeCell ref="Q58:U58"/>
    <mergeCell ref="Q59:R59"/>
    <mergeCell ref="AC60:AC61"/>
    <mergeCell ref="AD60:AD61"/>
    <mergeCell ref="A62:D62"/>
    <mergeCell ref="A63:D63"/>
    <mergeCell ref="A65:C65"/>
    <mergeCell ref="Y65:AG65"/>
    <mergeCell ref="V60:V61"/>
    <mergeCell ref="W60:W61"/>
    <mergeCell ref="Z60:Z61"/>
    <mergeCell ref="AA60:AA61"/>
    <mergeCell ref="AB60:AB61"/>
    <mergeCell ref="E57:E61"/>
    <mergeCell ref="F57:AG57"/>
    <mergeCell ref="V58:W59"/>
    <mergeCell ref="X58:X61"/>
    <mergeCell ref="Y58:Y61"/>
    <mergeCell ref="Z58:AD59"/>
    <mergeCell ref="AE58:AE61"/>
    <mergeCell ref="AF58:AF61"/>
    <mergeCell ref="AG58:AG61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="90" zoomScaleNormal="90" workbookViewId="0">
      <selection activeCell="C17" sqref="C17"/>
    </sheetView>
  </sheetViews>
  <sheetFormatPr defaultRowHeight="15" x14ac:dyDescent="0.25"/>
  <cols>
    <col min="1" max="1" width="6" customWidth="1"/>
    <col min="2" max="2" width="95" customWidth="1"/>
    <col min="3" max="3" width="14" customWidth="1"/>
    <col min="4" max="4" width="25" customWidth="1"/>
  </cols>
  <sheetData>
    <row r="1" spans="1:4" x14ac:dyDescent="0.25">
      <c r="A1" s="26" t="s">
        <v>10</v>
      </c>
      <c r="B1" s="11"/>
      <c r="C1" s="11"/>
      <c r="D1" s="11"/>
    </row>
    <row r="2" spans="1:4" x14ac:dyDescent="0.25">
      <c r="A2" s="26" t="s">
        <v>99</v>
      </c>
      <c r="B2" s="11"/>
      <c r="C2" s="11"/>
      <c r="D2" s="11"/>
    </row>
    <row r="3" spans="1:4" x14ac:dyDescent="0.25">
      <c r="A3" s="26" t="s">
        <v>100</v>
      </c>
      <c r="B3" s="11"/>
      <c r="C3" s="11"/>
      <c r="D3" s="11"/>
    </row>
    <row r="4" spans="1:4" ht="25.5" x14ac:dyDescent="0.25">
      <c r="A4" s="23" t="s">
        <v>12</v>
      </c>
      <c r="B4" s="23" t="s">
        <v>101</v>
      </c>
      <c r="C4" s="8" t="s">
        <v>102</v>
      </c>
      <c r="D4" s="23" t="s">
        <v>103</v>
      </c>
    </row>
    <row r="5" spans="1:4" x14ac:dyDescent="0.25">
      <c r="A5" s="16" t="s">
        <v>0</v>
      </c>
      <c r="B5" s="16" t="s">
        <v>0</v>
      </c>
      <c r="C5" s="7" t="s">
        <v>50</v>
      </c>
      <c r="D5" s="16" t="s">
        <v>0</v>
      </c>
    </row>
    <row r="6" spans="1:4" x14ac:dyDescent="0.25">
      <c r="A6" s="3" t="s">
        <v>104</v>
      </c>
      <c r="B6" s="3" t="s">
        <v>105</v>
      </c>
      <c r="C6" s="4"/>
      <c r="D6" s="3" t="s">
        <v>0</v>
      </c>
    </row>
    <row r="7" spans="1:4" x14ac:dyDescent="0.25">
      <c r="A7" s="3" t="s">
        <v>106</v>
      </c>
      <c r="B7" s="3" t="s">
        <v>107</v>
      </c>
      <c r="C7" s="4">
        <v>144</v>
      </c>
      <c r="D7" s="3" t="s">
        <v>0</v>
      </c>
    </row>
    <row r="8" spans="1:4" x14ac:dyDescent="0.25">
      <c r="A8" s="3" t="s">
        <v>108</v>
      </c>
      <c r="B8" s="3" t="s">
        <v>109</v>
      </c>
      <c r="C8" s="4"/>
      <c r="D8" s="3" t="s">
        <v>0</v>
      </c>
    </row>
    <row r="9" spans="1:4" x14ac:dyDescent="0.25">
      <c r="A9" s="3" t="s">
        <v>110</v>
      </c>
      <c r="B9" s="3" t="s">
        <v>111</v>
      </c>
      <c r="C9" s="4"/>
      <c r="D9" s="3" t="s">
        <v>0</v>
      </c>
    </row>
    <row r="10" spans="1:4" x14ac:dyDescent="0.25">
      <c r="A10" s="3" t="s">
        <v>112</v>
      </c>
      <c r="B10" s="3" t="s">
        <v>113</v>
      </c>
      <c r="C10" s="4"/>
      <c r="D10" s="3" t="s">
        <v>0</v>
      </c>
    </row>
    <row r="11" spans="1:4" x14ac:dyDescent="0.25">
      <c r="A11" s="3" t="s">
        <v>114</v>
      </c>
      <c r="B11" s="3" t="s">
        <v>115</v>
      </c>
      <c r="C11" s="4"/>
      <c r="D11" s="3" t="s">
        <v>0</v>
      </c>
    </row>
    <row r="12" spans="1:4" x14ac:dyDescent="0.25">
      <c r="A12" s="3" t="s">
        <v>116</v>
      </c>
      <c r="B12" s="3" t="s">
        <v>117</v>
      </c>
      <c r="C12" s="4">
        <v>2</v>
      </c>
      <c r="D12" s="3" t="s">
        <v>0</v>
      </c>
    </row>
    <row r="13" spans="1:4" x14ac:dyDescent="0.25">
      <c r="A13" s="3" t="s">
        <v>118</v>
      </c>
      <c r="B13" s="3" t="s">
        <v>119</v>
      </c>
      <c r="C13" s="4">
        <v>20</v>
      </c>
      <c r="D13" s="3" t="s">
        <v>0</v>
      </c>
    </row>
    <row r="14" spans="1:4" x14ac:dyDescent="0.25">
      <c r="A14" s="3" t="s">
        <v>120</v>
      </c>
      <c r="B14" s="3" t="s">
        <v>121</v>
      </c>
      <c r="C14" s="4"/>
      <c r="D14" s="3" t="s">
        <v>0</v>
      </c>
    </row>
    <row r="15" spans="1:4" x14ac:dyDescent="0.25">
      <c r="A15" s="3" t="s">
        <v>122</v>
      </c>
      <c r="B15" s="3" t="s">
        <v>123</v>
      </c>
      <c r="C15" s="4"/>
      <c r="D15" s="3" t="s">
        <v>0</v>
      </c>
    </row>
    <row r="16" spans="1:4" x14ac:dyDescent="0.25">
      <c r="A16" s="6" t="s">
        <v>0</v>
      </c>
      <c r="B16" s="5" t="s">
        <v>124</v>
      </c>
      <c r="C16" s="6">
        <f>SUM(C6:C15)</f>
        <v>166</v>
      </c>
      <c r="D16" s="6" t="s">
        <v>0</v>
      </c>
    </row>
    <row r="18" spans="1:4" x14ac:dyDescent="0.25">
      <c r="A18" s="10" t="s">
        <v>97</v>
      </c>
      <c r="B18" s="11"/>
      <c r="C18" s="21" t="s">
        <v>98</v>
      </c>
      <c r="D18" s="11"/>
    </row>
  </sheetData>
  <mergeCells count="8">
    <mergeCell ref="A18:B18"/>
    <mergeCell ref="C18:D18"/>
    <mergeCell ref="A1:D1"/>
    <mergeCell ref="A2:D2"/>
    <mergeCell ref="A3:D3"/>
    <mergeCell ref="A4:A5"/>
    <mergeCell ref="B4:B5"/>
    <mergeCell ref="D4:D5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opLeftCell="A46" zoomScale="90" zoomScaleNormal="90" workbookViewId="0">
      <selection activeCell="C63" sqref="C63"/>
    </sheetView>
  </sheetViews>
  <sheetFormatPr defaultRowHeight="15" x14ac:dyDescent="0.25"/>
  <cols>
    <col min="1" max="1" width="6" customWidth="1"/>
    <col min="2" max="2" width="95" customWidth="1"/>
    <col min="3" max="3" width="14" customWidth="1"/>
    <col min="4" max="4" width="25" customWidth="1"/>
  </cols>
  <sheetData>
    <row r="1" spans="1:4" x14ac:dyDescent="0.25">
      <c r="A1" s="26" t="s">
        <v>10</v>
      </c>
      <c r="B1" s="11"/>
      <c r="C1" s="11"/>
      <c r="D1" s="11"/>
    </row>
    <row r="2" spans="1:4" x14ac:dyDescent="0.25">
      <c r="A2" s="26" t="s">
        <v>99</v>
      </c>
      <c r="B2" s="11"/>
      <c r="C2" s="11"/>
      <c r="D2" s="11"/>
    </row>
    <row r="3" spans="1:4" x14ac:dyDescent="0.25">
      <c r="A3" s="26" t="s">
        <v>125</v>
      </c>
      <c r="B3" s="11"/>
      <c r="C3" s="11"/>
      <c r="D3" s="11"/>
    </row>
    <row r="4" spans="1:4" ht="25.5" x14ac:dyDescent="0.25">
      <c r="A4" s="23" t="s">
        <v>12</v>
      </c>
      <c r="B4" s="23" t="s">
        <v>101</v>
      </c>
      <c r="C4" s="8" t="s">
        <v>102</v>
      </c>
      <c r="D4" s="23" t="s">
        <v>103</v>
      </c>
    </row>
    <row r="5" spans="1:4" x14ac:dyDescent="0.25">
      <c r="A5" s="16" t="s">
        <v>0</v>
      </c>
      <c r="B5" s="16" t="s">
        <v>0</v>
      </c>
      <c r="C5" s="7" t="s">
        <v>50</v>
      </c>
      <c r="D5" s="16" t="s">
        <v>0</v>
      </c>
    </row>
    <row r="6" spans="1:4" ht="24" x14ac:dyDescent="0.25">
      <c r="A6" s="3" t="s">
        <v>104</v>
      </c>
      <c r="B6" s="3" t="s">
        <v>126</v>
      </c>
      <c r="C6" s="4"/>
      <c r="D6" s="3" t="s">
        <v>0</v>
      </c>
    </row>
    <row r="7" spans="1:4" ht="24" x14ac:dyDescent="0.25">
      <c r="A7" s="3" t="s">
        <v>108</v>
      </c>
      <c r="B7" s="3" t="s">
        <v>127</v>
      </c>
      <c r="C7" s="4"/>
      <c r="D7" s="3" t="s">
        <v>0</v>
      </c>
    </row>
    <row r="8" spans="1:4" x14ac:dyDescent="0.25">
      <c r="A8" s="3" t="s">
        <v>110</v>
      </c>
      <c r="B8" s="3" t="s">
        <v>128</v>
      </c>
      <c r="C8" s="4"/>
      <c r="D8" s="3" t="s">
        <v>0</v>
      </c>
    </row>
    <row r="9" spans="1:4" ht="24" x14ac:dyDescent="0.25">
      <c r="A9" s="3" t="s">
        <v>129</v>
      </c>
      <c r="B9" s="3" t="s">
        <v>130</v>
      </c>
      <c r="C9" s="4">
        <v>5</v>
      </c>
      <c r="D9" s="3" t="s">
        <v>0</v>
      </c>
    </row>
    <row r="10" spans="1:4" x14ac:dyDescent="0.25">
      <c r="A10" s="3" t="s">
        <v>112</v>
      </c>
      <c r="B10" s="3" t="s">
        <v>131</v>
      </c>
      <c r="C10" s="4"/>
      <c r="D10" s="3" t="s">
        <v>0</v>
      </c>
    </row>
    <row r="11" spans="1:4" x14ac:dyDescent="0.25">
      <c r="A11" s="3" t="s">
        <v>132</v>
      </c>
      <c r="B11" s="3" t="s">
        <v>133</v>
      </c>
      <c r="C11" s="4">
        <v>36</v>
      </c>
      <c r="D11" s="3" t="s">
        <v>0</v>
      </c>
    </row>
    <row r="12" spans="1:4" x14ac:dyDescent="0.25">
      <c r="A12" s="3" t="s">
        <v>134</v>
      </c>
      <c r="B12" s="3" t="s">
        <v>135</v>
      </c>
      <c r="C12" s="4">
        <v>36</v>
      </c>
      <c r="D12" s="3" t="s">
        <v>0</v>
      </c>
    </row>
    <row r="13" spans="1:4" x14ac:dyDescent="0.25">
      <c r="A13" s="3" t="s">
        <v>136</v>
      </c>
      <c r="B13" s="3" t="s">
        <v>137</v>
      </c>
      <c r="C13" s="4">
        <v>36</v>
      </c>
      <c r="D13" s="3" t="s">
        <v>0</v>
      </c>
    </row>
    <row r="14" spans="1:4" ht="24" x14ac:dyDescent="0.25">
      <c r="A14" s="3" t="s">
        <v>114</v>
      </c>
      <c r="B14" s="3" t="s">
        <v>138</v>
      </c>
      <c r="C14" s="4"/>
      <c r="D14" s="3" t="s">
        <v>0</v>
      </c>
    </row>
    <row r="15" spans="1:4" ht="24" x14ac:dyDescent="0.25">
      <c r="A15" s="3" t="s">
        <v>120</v>
      </c>
      <c r="B15" s="3" t="s">
        <v>139</v>
      </c>
      <c r="C15" s="4"/>
      <c r="D15" s="3" t="s">
        <v>0</v>
      </c>
    </row>
    <row r="16" spans="1:4" x14ac:dyDescent="0.25">
      <c r="A16" s="3" t="s">
        <v>140</v>
      </c>
      <c r="B16" s="3" t="s">
        <v>141</v>
      </c>
      <c r="C16" s="4">
        <v>5</v>
      </c>
      <c r="D16" s="3" t="s">
        <v>0</v>
      </c>
    </row>
    <row r="17" spans="1:4" ht="36" x14ac:dyDescent="0.25">
      <c r="A17" s="3" t="s">
        <v>122</v>
      </c>
      <c r="B17" s="3" t="s">
        <v>142</v>
      </c>
      <c r="C17" s="4"/>
      <c r="D17" s="3" t="s">
        <v>0</v>
      </c>
    </row>
    <row r="18" spans="1:4" x14ac:dyDescent="0.25">
      <c r="A18" s="3" t="s">
        <v>143</v>
      </c>
      <c r="B18" s="3" t="s">
        <v>144</v>
      </c>
      <c r="C18" s="4">
        <v>5</v>
      </c>
      <c r="D18" s="3" t="s">
        <v>0</v>
      </c>
    </row>
    <row r="19" spans="1:4" x14ac:dyDescent="0.25">
      <c r="A19" s="3" t="s">
        <v>145</v>
      </c>
      <c r="B19" s="3" t="s">
        <v>146</v>
      </c>
      <c r="C19" s="4">
        <v>5</v>
      </c>
      <c r="D19" s="3" t="s">
        <v>0</v>
      </c>
    </row>
    <row r="20" spans="1:4" x14ac:dyDescent="0.25">
      <c r="A20" s="3" t="s">
        <v>147</v>
      </c>
      <c r="B20" s="3" t="s">
        <v>148</v>
      </c>
      <c r="C20" s="4"/>
      <c r="D20" s="3" t="s">
        <v>0</v>
      </c>
    </row>
    <row r="21" spans="1:4" x14ac:dyDescent="0.25">
      <c r="A21" s="3" t="s">
        <v>149</v>
      </c>
      <c r="B21" s="3" t="s">
        <v>150</v>
      </c>
      <c r="C21" s="4">
        <v>2</v>
      </c>
      <c r="D21" s="3" t="s">
        <v>0</v>
      </c>
    </row>
    <row r="22" spans="1:4" x14ac:dyDescent="0.25">
      <c r="A22" s="3" t="s">
        <v>151</v>
      </c>
      <c r="B22" s="3" t="s">
        <v>152</v>
      </c>
      <c r="C22" s="4">
        <v>2</v>
      </c>
      <c r="D22" s="3" t="s">
        <v>0</v>
      </c>
    </row>
    <row r="23" spans="1:4" x14ac:dyDescent="0.25">
      <c r="A23" s="3" t="s">
        <v>153</v>
      </c>
      <c r="B23" s="3" t="s">
        <v>154</v>
      </c>
      <c r="C23" s="4">
        <v>2</v>
      </c>
      <c r="D23" s="3" t="s">
        <v>0</v>
      </c>
    </row>
    <row r="24" spans="1:4" x14ac:dyDescent="0.25">
      <c r="A24" s="3" t="s">
        <v>155</v>
      </c>
      <c r="B24" s="3" t="s">
        <v>156</v>
      </c>
      <c r="C24" s="4">
        <v>2</v>
      </c>
      <c r="D24" s="3" t="s">
        <v>0</v>
      </c>
    </row>
    <row r="25" spans="1:4" x14ac:dyDescent="0.25">
      <c r="A25" s="3" t="s">
        <v>157</v>
      </c>
      <c r="B25" s="3" t="s">
        <v>158</v>
      </c>
      <c r="C25" s="4">
        <v>2</v>
      </c>
      <c r="D25" s="3" t="s">
        <v>0</v>
      </c>
    </row>
    <row r="26" spans="1:4" x14ac:dyDescent="0.25">
      <c r="A26" s="3" t="s">
        <v>159</v>
      </c>
      <c r="B26" s="3" t="s">
        <v>160</v>
      </c>
      <c r="C26" s="4">
        <v>2</v>
      </c>
      <c r="D26" s="3" t="s">
        <v>0</v>
      </c>
    </row>
    <row r="27" spans="1:4" x14ac:dyDescent="0.25">
      <c r="A27" s="3" t="s">
        <v>161</v>
      </c>
      <c r="B27" s="3" t="s">
        <v>162</v>
      </c>
      <c r="C27" s="4">
        <v>2</v>
      </c>
      <c r="D27" s="3" t="s">
        <v>0</v>
      </c>
    </row>
    <row r="28" spans="1:4" x14ac:dyDescent="0.25">
      <c r="A28" s="3" t="s">
        <v>163</v>
      </c>
      <c r="B28" s="3" t="s">
        <v>164</v>
      </c>
      <c r="C28" s="4">
        <v>2</v>
      </c>
      <c r="D28" s="3" t="s">
        <v>0</v>
      </c>
    </row>
    <row r="29" spans="1:4" x14ac:dyDescent="0.25">
      <c r="A29" s="3" t="s">
        <v>165</v>
      </c>
      <c r="B29" s="3" t="s">
        <v>166</v>
      </c>
      <c r="C29" s="4">
        <v>2</v>
      </c>
      <c r="D29" s="3" t="s">
        <v>0</v>
      </c>
    </row>
    <row r="30" spans="1:4" x14ac:dyDescent="0.25">
      <c r="A30" s="3" t="s">
        <v>167</v>
      </c>
      <c r="B30" s="3" t="s">
        <v>168</v>
      </c>
      <c r="C30" s="4">
        <v>2</v>
      </c>
      <c r="D30" s="3" t="s">
        <v>0</v>
      </c>
    </row>
    <row r="31" spans="1:4" x14ac:dyDescent="0.25">
      <c r="A31" s="3" t="s">
        <v>169</v>
      </c>
      <c r="B31" s="3" t="s">
        <v>170</v>
      </c>
      <c r="C31" s="4">
        <v>2</v>
      </c>
      <c r="D31" s="3" t="s">
        <v>0</v>
      </c>
    </row>
    <row r="32" spans="1:4" x14ac:dyDescent="0.25">
      <c r="A32" s="3" t="s">
        <v>171</v>
      </c>
      <c r="B32" s="3" t="s">
        <v>172</v>
      </c>
      <c r="C32" s="4">
        <v>2</v>
      </c>
      <c r="D32" s="3" t="s">
        <v>0</v>
      </c>
    </row>
    <row r="33" spans="1:4" ht="24" x14ac:dyDescent="0.25">
      <c r="A33" s="3" t="s">
        <v>173</v>
      </c>
      <c r="B33" s="3" t="s">
        <v>174</v>
      </c>
      <c r="C33" s="4"/>
      <c r="D33" s="3" t="s">
        <v>0</v>
      </c>
    </row>
    <row r="34" spans="1:4" ht="24" x14ac:dyDescent="0.25">
      <c r="A34" s="3" t="s">
        <v>175</v>
      </c>
      <c r="B34" s="3" t="s">
        <v>176</v>
      </c>
      <c r="C34" s="4"/>
      <c r="D34" s="3" t="s">
        <v>0</v>
      </c>
    </row>
    <row r="35" spans="1:4" x14ac:dyDescent="0.25">
      <c r="A35" s="3" t="s">
        <v>177</v>
      </c>
      <c r="B35" s="3" t="s">
        <v>178</v>
      </c>
      <c r="C35" s="4">
        <v>2</v>
      </c>
      <c r="D35" s="3" t="s">
        <v>0</v>
      </c>
    </row>
    <row r="36" spans="1:4" x14ac:dyDescent="0.25">
      <c r="A36" s="3" t="s">
        <v>179</v>
      </c>
      <c r="B36" s="3" t="s">
        <v>180</v>
      </c>
      <c r="C36" s="4">
        <v>2</v>
      </c>
      <c r="D36" s="3" t="s">
        <v>0</v>
      </c>
    </row>
    <row r="37" spans="1:4" x14ac:dyDescent="0.25">
      <c r="A37" s="3" t="s">
        <v>181</v>
      </c>
      <c r="B37" s="3" t="s">
        <v>182</v>
      </c>
      <c r="C37" s="4">
        <v>2</v>
      </c>
      <c r="D37" s="3" t="s">
        <v>0</v>
      </c>
    </row>
    <row r="38" spans="1:4" x14ac:dyDescent="0.25">
      <c r="A38" s="3" t="s">
        <v>183</v>
      </c>
      <c r="B38" s="3" t="s">
        <v>184</v>
      </c>
      <c r="C38" s="4">
        <v>2</v>
      </c>
      <c r="D38" s="3" t="s">
        <v>0</v>
      </c>
    </row>
    <row r="39" spans="1:4" x14ac:dyDescent="0.25">
      <c r="A39" s="3" t="s">
        <v>185</v>
      </c>
      <c r="B39" s="3" t="s">
        <v>186</v>
      </c>
      <c r="C39" s="4">
        <v>2</v>
      </c>
      <c r="D39" s="3" t="s">
        <v>0</v>
      </c>
    </row>
    <row r="40" spans="1:4" x14ac:dyDescent="0.25">
      <c r="A40" s="3" t="s">
        <v>187</v>
      </c>
      <c r="B40" s="3" t="s">
        <v>188</v>
      </c>
      <c r="C40" s="4">
        <v>2</v>
      </c>
      <c r="D40" s="3" t="s">
        <v>0</v>
      </c>
    </row>
    <row r="41" spans="1:4" x14ac:dyDescent="0.25">
      <c r="A41" s="3" t="s">
        <v>189</v>
      </c>
      <c r="B41" s="3" t="s">
        <v>190</v>
      </c>
      <c r="C41" s="4">
        <v>2</v>
      </c>
      <c r="D41" s="3" t="s">
        <v>0</v>
      </c>
    </row>
    <row r="42" spans="1:4" x14ac:dyDescent="0.25">
      <c r="A42" s="3" t="s">
        <v>191</v>
      </c>
      <c r="B42" s="3" t="s">
        <v>192</v>
      </c>
      <c r="C42" s="4">
        <v>2</v>
      </c>
      <c r="D42" s="3" t="s">
        <v>0</v>
      </c>
    </row>
    <row r="43" spans="1:4" ht="36" x14ac:dyDescent="0.25">
      <c r="A43" s="3" t="s">
        <v>193</v>
      </c>
      <c r="B43" s="3" t="s">
        <v>194</v>
      </c>
      <c r="C43" s="4"/>
      <c r="D43" s="3" t="s">
        <v>0</v>
      </c>
    </row>
    <row r="44" spans="1:4" x14ac:dyDescent="0.25">
      <c r="A44" s="3" t="s">
        <v>195</v>
      </c>
      <c r="B44" s="3" t="s">
        <v>196</v>
      </c>
      <c r="C44" s="4">
        <v>2</v>
      </c>
      <c r="D44" s="3" t="s">
        <v>0</v>
      </c>
    </row>
    <row r="45" spans="1:4" x14ac:dyDescent="0.25">
      <c r="A45" s="3" t="s">
        <v>197</v>
      </c>
      <c r="B45" s="3" t="s">
        <v>198</v>
      </c>
      <c r="C45" s="4">
        <v>2</v>
      </c>
      <c r="D45" s="3" t="s">
        <v>0</v>
      </c>
    </row>
    <row r="46" spans="1:4" x14ac:dyDescent="0.25">
      <c r="A46" s="3" t="s">
        <v>199</v>
      </c>
      <c r="B46" s="3" t="s">
        <v>200</v>
      </c>
      <c r="C46" s="4">
        <v>2</v>
      </c>
      <c r="D46" s="3" t="s">
        <v>0</v>
      </c>
    </row>
    <row r="47" spans="1:4" x14ac:dyDescent="0.25">
      <c r="A47" s="3" t="s">
        <v>201</v>
      </c>
      <c r="B47" s="3" t="s">
        <v>202</v>
      </c>
      <c r="C47" s="4"/>
      <c r="D47" s="3" t="s">
        <v>0</v>
      </c>
    </row>
    <row r="48" spans="1:4" ht="24" x14ac:dyDescent="0.25">
      <c r="A48" s="3" t="s">
        <v>203</v>
      </c>
      <c r="B48" s="3" t="s">
        <v>204</v>
      </c>
      <c r="C48" s="4"/>
      <c r="D48" s="3" t="s">
        <v>0</v>
      </c>
    </row>
    <row r="49" spans="1:4" ht="24" x14ac:dyDescent="0.25">
      <c r="A49" s="3" t="s">
        <v>205</v>
      </c>
      <c r="B49" s="3" t="s">
        <v>206</v>
      </c>
      <c r="C49" s="4"/>
      <c r="D49" s="3" t="s">
        <v>0</v>
      </c>
    </row>
    <row r="50" spans="1:4" x14ac:dyDescent="0.25">
      <c r="A50" s="3" t="s">
        <v>207</v>
      </c>
      <c r="B50" s="3" t="s">
        <v>208</v>
      </c>
      <c r="C50" s="4"/>
      <c r="D50" s="3" t="s">
        <v>0</v>
      </c>
    </row>
    <row r="51" spans="1:4" x14ac:dyDescent="0.25">
      <c r="A51" s="3" t="s">
        <v>209</v>
      </c>
      <c r="B51" s="3" t="s">
        <v>210</v>
      </c>
      <c r="C51" s="4"/>
      <c r="D51" s="3" t="s">
        <v>0</v>
      </c>
    </row>
    <row r="52" spans="1:4" x14ac:dyDescent="0.25">
      <c r="A52" s="3" t="s">
        <v>211</v>
      </c>
      <c r="B52" s="3" t="s">
        <v>212</v>
      </c>
      <c r="C52" s="4"/>
      <c r="D52" s="3" t="s">
        <v>0</v>
      </c>
    </row>
    <row r="53" spans="1:4" x14ac:dyDescent="0.25">
      <c r="A53" s="3" t="s">
        <v>213</v>
      </c>
      <c r="B53" s="3" t="s">
        <v>214</v>
      </c>
      <c r="C53" s="4"/>
      <c r="D53" s="3" t="s">
        <v>0</v>
      </c>
    </row>
    <row r="54" spans="1:4" x14ac:dyDescent="0.25">
      <c r="A54" s="3" t="s">
        <v>215</v>
      </c>
      <c r="B54" s="3" t="s">
        <v>216</v>
      </c>
      <c r="C54" s="4"/>
      <c r="D54" s="3" t="s">
        <v>0</v>
      </c>
    </row>
    <row r="55" spans="1:4" x14ac:dyDescent="0.25">
      <c r="A55" s="3" t="s">
        <v>217</v>
      </c>
      <c r="B55" s="3" t="s">
        <v>218</v>
      </c>
      <c r="C55" s="4"/>
      <c r="D55" s="3" t="s">
        <v>0</v>
      </c>
    </row>
    <row r="56" spans="1:4" x14ac:dyDescent="0.25">
      <c r="A56" s="3" t="s">
        <v>219</v>
      </c>
      <c r="B56" s="3" t="s">
        <v>220</v>
      </c>
      <c r="C56" s="4"/>
      <c r="D56" s="3" t="s">
        <v>0</v>
      </c>
    </row>
    <row r="57" spans="1:4" x14ac:dyDescent="0.25">
      <c r="A57" s="3" t="s">
        <v>221</v>
      </c>
      <c r="B57" s="3" t="s">
        <v>222</v>
      </c>
      <c r="C57" s="4"/>
      <c r="D57" s="3" t="s">
        <v>0</v>
      </c>
    </row>
    <row r="58" spans="1:4" x14ac:dyDescent="0.25">
      <c r="A58" s="3" t="s">
        <v>223</v>
      </c>
      <c r="B58" s="3" t="s">
        <v>224</v>
      </c>
      <c r="C58" s="4"/>
      <c r="D58" s="3" t="s">
        <v>0</v>
      </c>
    </row>
    <row r="59" spans="1:4" ht="24" x14ac:dyDescent="0.25">
      <c r="A59" s="3" t="s">
        <v>225</v>
      </c>
      <c r="B59" s="3" t="s">
        <v>226</v>
      </c>
      <c r="C59" s="4"/>
      <c r="D59" s="3" t="s">
        <v>0</v>
      </c>
    </row>
    <row r="60" spans="1:4" ht="24" x14ac:dyDescent="0.25">
      <c r="A60" s="3" t="s">
        <v>227</v>
      </c>
      <c r="B60" s="3" t="s">
        <v>228</v>
      </c>
      <c r="C60" s="4"/>
      <c r="D60" s="3" t="s">
        <v>0</v>
      </c>
    </row>
    <row r="61" spans="1:4" ht="24" x14ac:dyDescent="0.25">
      <c r="A61" s="3" t="s">
        <v>229</v>
      </c>
      <c r="B61" s="3" t="s">
        <v>230</v>
      </c>
      <c r="C61" s="4"/>
      <c r="D61" s="3" t="s">
        <v>0</v>
      </c>
    </row>
    <row r="62" spans="1:4" x14ac:dyDescent="0.25">
      <c r="A62" s="6" t="s">
        <v>0</v>
      </c>
      <c r="B62" s="5" t="s">
        <v>124</v>
      </c>
      <c r="C62" s="6">
        <f>SUM(C6:C61)</f>
        <v>174</v>
      </c>
      <c r="D62" s="6" t="s">
        <v>0</v>
      </c>
    </row>
    <row r="64" spans="1:4" x14ac:dyDescent="0.25">
      <c r="A64" s="10" t="s">
        <v>97</v>
      </c>
      <c r="B64" s="11"/>
      <c r="C64" s="21" t="s">
        <v>98</v>
      </c>
      <c r="D64" s="11"/>
    </row>
  </sheetData>
  <mergeCells count="8">
    <mergeCell ref="A64:B64"/>
    <mergeCell ref="C64:D64"/>
    <mergeCell ref="A1:D1"/>
    <mergeCell ref="A2:D2"/>
    <mergeCell ref="A3:D3"/>
    <mergeCell ref="A4:A5"/>
    <mergeCell ref="B4:B5"/>
    <mergeCell ref="D4:D5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90" zoomScaleNormal="90" workbookViewId="0">
      <selection activeCell="C12" sqref="C12"/>
    </sheetView>
  </sheetViews>
  <sheetFormatPr defaultRowHeight="15" x14ac:dyDescent="0.25"/>
  <cols>
    <col min="1" max="1" width="6" customWidth="1"/>
    <col min="2" max="2" width="95" customWidth="1"/>
    <col min="3" max="3" width="14" customWidth="1"/>
    <col min="4" max="4" width="25" customWidth="1"/>
  </cols>
  <sheetData>
    <row r="1" spans="1:4" x14ac:dyDescent="0.25">
      <c r="A1" s="26" t="s">
        <v>10</v>
      </c>
      <c r="B1" s="11"/>
      <c r="C1" s="11"/>
      <c r="D1" s="11"/>
    </row>
    <row r="2" spans="1:4" x14ac:dyDescent="0.25">
      <c r="A2" s="26" t="s">
        <v>99</v>
      </c>
      <c r="B2" s="11"/>
      <c r="C2" s="11"/>
      <c r="D2" s="11"/>
    </row>
    <row r="3" spans="1:4" x14ac:dyDescent="0.25">
      <c r="A3" s="26" t="s">
        <v>231</v>
      </c>
      <c r="B3" s="11"/>
      <c r="C3" s="11"/>
      <c r="D3" s="11"/>
    </row>
    <row r="4" spans="1:4" ht="25.5" x14ac:dyDescent="0.25">
      <c r="A4" s="23" t="s">
        <v>12</v>
      </c>
      <c r="B4" s="23" t="s">
        <v>101</v>
      </c>
      <c r="C4" s="8" t="s">
        <v>102</v>
      </c>
      <c r="D4" s="23" t="s">
        <v>103</v>
      </c>
    </row>
    <row r="5" spans="1:4" x14ac:dyDescent="0.25">
      <c r="A5" s="16" t="s">
        <v>0</v>
      </c>
      <c r="B5" s="16" t="s">
        <v>0</v>
      </c>
      <c r="C5" s="7" t="s">
        <v>50</v>
      </c>
      <c r="D5" s="16" t="s">
        <v>0</v>
      </c>
    </row>
    <row r="6" spans="1:4" x14ac:dyDescent="0.25">
      <c r="A6" s="3" t="s">
        <v>104</v>
      </c>
      <c r="B6" s="3" t="s">
        <v>232</v>
      </c>
      <c r="C6" s="4"/>
      <c r="D6" s="3" t="s">
        <v>0</v>
      </c>
    </row>
    <row r="7" spans="1:4" ht="24" x14ac:dyDescent="0.25">
      <c r="A7" s="3" t="s">
        <v>108</v>
      </c>
      <c r="B7" s="3" t="s">
        <v>233</v>
      </c>
      <c r="C7" s="4"/>
      <c r="D7" s="3" t="s">
        <v>0</v>
      </c>
    </row>
    <row r="8" spans="1:4" ht="24" x14ac:dyDescent="0.25">
      <c r="A8" s="3" t="s">
        <v>110</v>
      </c>
      <c r="B8" s="3" t="s">
        <v>234</v>
      </c>
      <c r="C8" s="4"/>
      <c r="D8" s="3" t="s">
        <v>0</v>
      </c>
    </row>
    <row r="9" spans="1:4" ht="24" x14ac:dyDescent="0.25">
      <c r="A9" s="3" t="s">
        <v>112</v>
      </c>
      <c r="B9" s="3" t="s">
        <v>235</v>
      </c>
      <c r="C9" s="4"/>
      <c r="D9" s="3" t="s">
        <v>0</v>
      </c>
    </row>
    <row r="10" spans="1:4" ht="24" x14ac:dyDescent="0.25">
      <c r="A10" s="3" t="s">
        <v>114</v>
      </c>
      <c r="B10" s="3" t="s">
        <v>236</v>
      </c>
      <c r="C10" s="4"/>
      <c r="D10" s="3" t="s">
        <v>0</v>
      </c>
    </row>
    <row r="11" spans="1:4" x14ac:dyDescent="0.25">
      <c r="A11" s="6" t="s">
        <v>0</v>
      </c>
      <c r="B11" s="5" t="s">
        <v>124</v>
      </c>
      <c r="C11" s="6">
        <f>SUM(C6:C10)</f>
        <v>0</v>
      </c>
      <c r="D11" s="6" t="s">
        <v>0</v>
      </c>
    </row>
    <row r="13" spans="1:4" x14ac:dyDescent="0.25">
      <c r="A13" s="10" t="s">
        <v>97</v>
      </c>
      <c r="B13" s="11"/>
      <c r="C13" s="21" t="s">
        <v>98</v>
      </c>
      <c r="D13" s="11"/>
    </row>
  </sheetData>
  <mergeCells count="8">
    <mergeCell ref="A13:B13"/>
    <mergeCell ref="C13:D13"/>
    <mergeCell ref="A1:D1"/>
    <mergeCell ref="A2:D2"/>
    <mergeCell ref="A3:D3"/>
    <mergeCell ref="A4:A5"/>
    <mergeCell ref="B4:B5"/>
    <mergeCell ref="D4:D5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opLeftCell="A25" zoomScale="90" zoomScaleNormal="90" workbookViewId="0">
      <selection activeCell="C45" sqref="C45"/>
    </sheetView>
  </sheetViews>
  <sheetFormatPr defaultRowHeight="15" x14ac:dyDescent="0.25"/>
  <cols>
    <col min="1" max="1" width="6" customWidth="1"/>
    <col min="2" max="2" width="95" customWidth="1"/>
    <col min="3" max="3" width="14" customWidth="1"/>
    <col min="4" max="4" width="25" customWidth="1"/>
  </cols>
  <sheetData>
    <row r="1" spans="1:4" x14ac:dyDescent="0.25">
      <c r="A1" s="26" t="s">
        <v>10</v>
      </c>
      <c r="B1" s="11"/>
      <c r="C1" s="11"/>
      <c r="D1" s="11"/>
    </row>
    <row r="2" spans="1:4" x14ac:dyDescent="0.25">
      <c r="A2" s="26" t="s">
        <v>99</v>
      </c>
      <c r="B2" s="11"/>
      <c r="C2" s="11"/>
      <c r="D2" s="11"/>
    </row>
    <row r="3" spans="1:4" x14ac:dyDescent="0.25">
      <c r="A3" s="26" t="s">
        <v>237</v>
      </c>
      <c r="B3" s="11"/>
      <c r="C3" s="11"/>
      <c r="D3" s="11"/>
    </row>
    <row r="4" spans="1:4" ht="25.5" x14ac:dyDescent="0.25">
      <c r="A4" s="23" t="s">
        <v>12</v>
      </c>
      <c r="B4" s="23" t="s">
        <v>101</v>
      </c>
      <c r="C4" s="8" t="s">
        <v>102</v>
      </c>
      <c r="D4" s="23" t="s">
        <v>103</v>
      </c>
    </row>
    <row r="5" spans="1:4" x14ac:dyDescent="0.25">
      <c r="A5" s="16" t="s">
        <v>0</v>
      </c>
      <c r="B5" s="16" t="s">
        <v>0</v>
      </c>
      <c r="C5" s="7" t="s">
        <v>50</v>
      </c>
      <c r="D5" s="16" t="s">
        <v>0</v>
      </c>
    </row>
    <row r="6" spans="1:4" ht="24" x14ac:dyDescent="0.25">
      <c r="A6" s="3" t="s">
        <v>104</v>
      </c>
      <c r="B6" s="3" t="s">
        <v>238</v>
      </c>
      <c r="C6" s="4"/>
      <c r="D6" s="3" t="s">
        <v>0</v>
      </c>
    </row>
    <row r="7" spans="1:4" ht="24" x14ac:dyDescent="0.25">
      <c r="A7" s="3" t="s">
        <v>108</v>
      </c>
      <c r="B7" s="3" t="s">
        <v>239</v>
      </c>
      <c r="C7" s="4"/>
      <c r="D7" s="3" t="s">
        <v>0</v>
      </c>
    </row>
    <row r="8" spans="1:4" ht="36" x14ac:dyDescent="0.25">
      <c r="A8" s="3" t="s">
        <v>110</v>
      </c>
      <c r="B8" s="3" t="s">
        <v>240</v>
      </c>
      <c r="C8" s="4"/>
      <c r="D8" s="3" t="s">
        <v>0</v>
      </c>
    </row>
    <row r="9" spans="1:4" ht="36" x14ac:dyDescent="0.25">
      <c r="A9" s="3" t="s">
        <v>112</v>
      </c>
      <c r="B9" s="3" t="s">
        <v>241</v>
      </c>
      <c r="C9" s="4"/>
      <c r="D9" s="3" t="s">
        <v>0</v>
      </c>
    </row>
    <row r="10" spans="1:4" ht="48" x14ac:dyDescent="0.25">
      <c r="A10" s="3" t="s">
        <v>114</v>
      </c>
      <c r="B10" s="3" t="s">
        <v>242</v>
      </c>
      <c r="C10" s="4"/>
      <c r="D10" s="3" t="s">
        <v>0</v>
      </c>
    </row>
    <row r="11" spans="1:4" x14ac:dyDescent="0.25">
      <c r="A11" s="3" t="s">
        <v>120</v>
      </c>
      <c r="B11" s="3" t="s">
        <v>243</v>
      </c>
      <c r="C11" s="4"/>
      <c r="D11" s="3" t="s">
        <v>0</v>
      </c>
    </row>
    <row r="12" spans="1:4" x14ac:dyDescent="0.25">
      <c r="A12" s="3" t="s">
        <v>122</v>
      </c>
      <c r="B12" s="3" t="s">
        <v>244</v>
      </c>
      <c r="C12" s="4"/>
      <c r="D12" s="3" t="s">
        <v>0</v>
      </c>
    </row>
    <row r="13" spans="1:4" x14ac:dyDescent="0.25">
      <c r="A13" s="3" t="s">
        <v>147</v>
      </c>
      <c r="B13" s="3" t="s">
        <v>245</v>
      </c>
      <c r="C13" s="4"/>
      <c r="D13" s="3" t="s">
        <v>0</v>
      </c>
    </row>
    <row r="14" spans="1:4" x14ac:dyDescent="0.25">
      <c r="A14" s="3" t="s">
        <v>173</v>
      </c>
      <c r="B14" s="3" t="s">
        <v>246</v>
      </c>
      <c r="C14" s="4"/>
      <c r="D14" s="3" t="s">
        <v>0</v>
      </c>
    </row>
    <row r="15" spans="1:4" x14ac:dyDescent="0.25">
      <c r="A15" s="3" t="s">
        <v>175</v>
      </c>
      <c r="B15" s="3" t="s">
        <v>247</v>
      </c>
      <c r="C15" s="4"/>
      <c r="D15" s="3" t="s">
        <v>0</v>
      </c>
    </row>
    <row r="16" spans="1:4" x14ac:dyDescent="0.25">
      <c r="A16" s="3" t="s">
        <v>193</v>
      </c>
      <c r="B16" s="3" t="s">
        <v>248</v>
      </c>
      <c r="C16" s="4"/>
      <c r="D16" s="3" t="s">
        <v>0</v>
      </c>
    </row>
    <row r="17" spans="1:4" x14ac:dyDescent="0.25">
      <c r="A17" s="3" t="s">
        <v>201</v>
      </c>
      <c r="B17" s="3" t="s">
        <v>249</v>
      </c>
      <c r="C17" s="4"/>
      <c r="D17" s="3" t="s">
        <v>0</v>
      </c>
    </row>
    <row r="18" spans="1:4" ht="24" x14ac:dyDescent="0.25">
      <c r="A18" s="3" t="s">
        <v>203</v>
      </c>
      <c r="B18" s="3" t="s">
        <v>250</v>
      </c>
      <c r="C18" s="4"/>
      <c r="D18" s="3" t="s">
        <v>0</v>
      </c>
    </row>
    <row r="19" spans="1:4" ht="24" x14ac:dyDescent="0.25">
      <c r="A19" s="3" t="s">
        <v>205</v>
      </c>
      <c r="B19" s="3" t="s">
        <v>251</v>
      </c>
      <c r="C19" s="4"/>
      <c r="D19" s="3" t="s">
        <v>0</v>
      </c>
    </row>
    <row r="20" spans="1:4" x14ac:dyDescent="0.25">
      <c r="A20" s="3" t="s">
        <v>207</v>
      </c>
      <c r="B20" s="3" t="s">
        <v>252</v>
      </c>
      <c r="C20" s="4"/>
      <c r="D20" s="3" t="s">
        <v>0</v>
      </c>
    </row>
    <row r="21" spans="1:4" x14ac:dyDescent="0.25">
      <c r="A21" s="3" t="s">
        <v>209</v>
      </c>
      <c r="B21" s="3" t="s">
        <v>253</v>
      </c>
      <c r="C21" s="4"/>
      <c r="D21" s="3" t="s">
        <v>0</v>
      </c>
    </row>
    <row r="22" spans="1:4" x14ac:dyDescent="0.25">
      <c r="A22" s="3" t="s">
        <v>211</v>
      </c>
      <c r="B22" s="3" t="s">
        <v>254</v>
      </c>
      <c r="C22" s="4"/>
      <c r="D22" s="3" t="s">
        <v>0</v>
      </c>
    </row>
    <row r="23" spans="1:4" x14ac:dyDescent="0.25">
      <c r="A23" s="3" t="s">
        <v>213</v>
      </c>
      <c r="B23" s="3" t="s">
        <v>255</v>
      </c>
      <c r="C23" s="4"/>
      <c r="D23" s="3" t="s">
        <v>0</v>
      </c>
    </row>
    <row r="24" spans="1:4" x14ac:dyDescent="0.25">
      <c r="A24" s="3" t="s">
        <v>215</v>
      </c>
      <c r="B24" s="3" t="s">
        <v>256</v>
      </c>
      <c r="C24" s="4"/>
      <c r="D24" s="3" t="s">
        <v>0</v>
      </c>
    </row>
    <row r="25" spans="1:4" x14ac:dyDescent="0.25">
      <c r="A25" s="3" t="s">
        <v>217</v>
      </c>
      <c r="B25" s="3" t="s">
        <v>257</v>
      </c>
      <c r="C25" s="4"/>
      <c r="D25" s="3" t="s">
        <v>0</v>
      </c>
    </row>
    <row r="26" spans="1:4" x14ac:dyDescent="0.25">
      <c r="A26" s="3" t="s">
        <v>219</v>
      </c>
      <c r="B26" s="3" t="s">
        <v>258</v>
      </c>
      <c r="C26" s="4"/>
      <c r="D26" s="3" t="s">
        <v>0</v>
      </c>
    </row>
    <row r="27" spans="1:4" x14ac:dyDescent="0.25">
      <c r="A27" s="3" t="s">
        <v>221</v>
      </c>
      <c r="B27" s="3" t="s">
        <v>259</v>
      </c>
      <c r="C27" s="4"/>
      <c r="D27" s="3" t="s">
        <v>0</v>
      </c>
    </row>
    <row r="28" spans="1:4" x14ac:dyDescent="0.25">
      <c r="A28" s="3" t="s">
        <v>223</v>
      </c>
      <c r="B28" s="3" t="s">
        <v>260</v>
      </c>
      <c r="C28" s="4"/>
      <c r="D28" s="3" t="s">
        <v>0</v>
      </c>
    </row>
    <row r="29" spans="1:4" x14ac:dyDescent="0.25">
      <c r="A29" s="3" t="s">
        <v>225</v>
      </c>
      <c r="B29" s="3" t="s">
        <v>261</v>
      </c>
      <c r="C29" s="4"/>
      <c r="D29" s="3" t="s">
        <v>0</v>
      </c>
    </row>
    <row r="30" spans="1:4" x14ac:dyDescent="0.25">
      <c r="A30" s="3" t="s">
        <v>227</v>
      </c>
      <c r="B30" s="3" t="s">
        <v>262</v>
      </c>
      <c r="C30" s="4"/>
      <c r="D30" s="3" t="s">
        <v>0</v>
      </c>
    </row>
    <row r="31" spans="1:4" x14ac:dyDescent="0.25">
      <c r="A31" s="3" t="s">
        <v>229</v>
      </c>
      <c r="B31" s="3" t="s">
        <v>263</v>
      </c>
      <c r="C31" s="4"/>
      <c r="D31" s="3" t="s">
        <v>0</v>
      </c>
    </row>
    <row r="32" spans="1:4" x14ac:dyDescent="0.25">
      <c r="A32" s="3" t="s">
        <v>264</v>
      </c>
      <c r="B32" s="3" t="s">
        <v>265</v>
      </c>
      <c r="C32" s="4"/>
      <c r="D32" s="3" t="s">
        <v>0</v>
      </c>
    </row>
    <row r="33" spans="1:4" x14ac:dyDescent="0.25">
      <c r="A33" s="3" t="s">
        <v>266</v>
      </c>
      <c r="B33" s="3" t="s">
        <v>267</v>
      </c>
      <c r="C33" s="4"/>
      <c r="D33" s="3" t="s">
        <v>0</v>
      </c>
    </row>
    <row r="34" spans="1:4" ht="24" x14ac:dyDescent="0.25">
      <c r="A34" s="3" t="s">
        <v>268</v>
      </c>
      <c r="B34" s="3" t="s">
        <v>269</v>
      </c>
      <c r="C34" s="4"/>
      <c r="D34" s="3" t="s">
        <v>0</v>
      </c>
    </row>
    <row r="35" spans="1:4" x14ac:dyDescent="0.25">
      <c r="A35" s="3" t="s">
        <v>270</v>
      </c>
      <c r="B35" s="3" t="s">
        <v>271</v>
      </c>
      <c r="C35" s="4"/>
      <c r="D35" s="3" t="s">
        <v>0</v>
      </c>
    </row>
    <row r="36" spans="1:4" x14ac:dyDescent="0.25">
      <c r="A36" s="3" t="s">
        <v>272</v>
      </c>
      <c r="B36" s="3" t="s">
        <v>273</v>
      </c>
      <c r="C36" s="4"/>
      <c r="D36" s="3" t="s">
        <v>0</v>
      </c>
    </row>
    <row r="37" spans="1:4" x14ac:dyDescent="0.25">
      <c r="A37" s="3" t="s">
        <v>274</v>
      </c>
      <c r="B37" s="3" t="s">
        <v>275</v>
      </c>
      <c r="C37" s="4"/>
      <c r="D37" s="3" t="s">
        <v>0</v>
      </c>
    </row>
    <row r="38" spans="1:4" x14ac:dyDescent="0.25">
      <c r="A38" s="3" t="s">
        <v>276</v>
      </c>
      <c r="B38" s="3" t="s">
        <v>277</v>
      </c>
      <c r="C38" s="4"/>
      <c r="D38" s="3" t="s">
        <v>0</v>
      </c>
    </row>
    <row r="39" spans="1:4" x14ac:dyDescent="0.25">
      <c r="A39" s="3" t="s">
        <v>278</v>
      </c>
      <c r="B39" s="3" t="s">
        <v>279</v>
      </c>
      <c r="C39" s="4"/>
      <c r="D39" s="3" t="s">
        <v>0</v>
      </c>
    </row>
    <row r="40" spans="1:4" x14ac:dyDescent="0.25">
      <c r="A40" s="3" t="s">
        <v>280</v>
      </c>
      <c r="B40" s="3" t="s">
        <v>281</v>
      </c>
      <c r="C40" s="4"/>
      <c r="D40" s="3" t="s">
        <v>0</v>
      </c>
    </row>
    <row r="41" spans="1:4" x14ac:dyDescent="0.25">
      <c r="A41" s="3" t="s">
        <v>282</v>
      </c>
      <c r="B41" s="3" t="s">
        <v>283</v>
      </c>
      <c r="C41" s="4"/>
      <c r="D41" s="3" t="s">
        <v>0</v>
      </c>
    </row>
    <row r="42" spans="1:4" x14ac:dyDescent="0.25">
      <c r="A42" s="3" t="s">
        <v>284</v>
      </c>
      <c r="B42" s="3" t="s">
        <v>285</v>
      </c>
      <c r="C42" s="4"/>
      <c r="D42" s="3" t="s">
        <v>0</v>
      </c>
    </row>
    <row r="43" spans="1:4" x14ac:dyDescent="0.25">
      <c r="A43" s="3" t="s">
        <v>286</v>
      </c>
      <c r="B43" s="3" t="s">
        <v>287</v>
      </c>
      <c r="C43" s="4"/>
      <c r="D43" s="3" t="s">
        <v>0</v>
      </c>
    </row>
    <row r="44" spans="1:4" x14ac:dyDescent="0.25">
      <c r="A44" s="6" t="s">
        <v>0</v>
      </c>
      <c r="B44" s="5" t="s">
        <v>124</v>
      </c>
      <c r="C44" s="6">
        <f>SUM(C6:C43)</f>
        <v>0</v>
      </c>
      <c r="D44" s="6" t="s">
        <v>0</v>
      </c>
    </row>
    <row r="46" spans="1:4" x14ac:dyDescent="0.25">
      <c r="A46" s="10" t="s">
        <v>97</v>
      </c>
      <c r="B46" s="11"/>
      <c r="C46" s="21" t="s">
        <v>98</v>
      </c>
      <c r="D46" s="11"/>
    </row>
  </sheetData>
  <mergeCells count="8">
    <mergeCell ref="A46:B46"/>
    <mergeCell ref="C46:D46"/>
    <mergeCell ref="A1:D1"/>
    <mergeCell ref="A2:D2"/>
    <mergeCell ref="A3:D3"/>
    <mergeCell ref="A4:A5"/>
    <mergeCell ref="B4:B5"/>
    <mergeCell ref="D4:D5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="90" zoomScaleNormal="90" workbookViewId="0">
      <selection activeCell="C20" sqref="C20"/>
    </sheetView>
  </sheetViews>
  <sheetFormatPr defaultRowHeight="15" x14ac:dyDescent="0.25"/>
  <cols>
    <col min="1" max="1" width="6" customWidth="1"/>
    <col min="2" max="2" width="95" customWidth="1"/>
    <col min="3" max="3" width="14" customWidth="1"/>
    <col min="4" max="4" width="25" customWidth="1"/>
  </cols>
  <sheetData>
    <row r="1" spans="1:4" x14ac:dyDescent="0.25">
      <c r="A1" s="26" t="s">
        <v>10</v>
      </c>
      <c r="B1" s="11"/>
      <c r="C1" s="11"/>
      <c r="D1" s="11"/>
    </row>
    <row r="2" spans="1:4" x14ac:dyDescent="0.25">
      <c r="A2" s="26" t="s">
        <v>99</v>
      </c>
      <c r="B2" s="11"/>
      <c r="C2" s="11"/>
      <c r="D2" s="11"/>
    </row>
    <row r="3" spans="1:4" x14ac:dyDescent="0.25">
      <c r="A3" s="26" t="s">
        <v>288</v>
      </c>
      <c r="B3" s="11"/>
      <c r="C3" s="11"/>
      <c r="D3" s="11"/>
    </row>
    <row r="4" spans="1:4" ht="25.5" x14ac:dyDescent="0.25">
      <c r="A4" s="23" t="s">
        <v>12</v>
      </c>
      <c r="B4" s="23" t="s">
        <v>101</v>
      </c>
      <c r="C4" s="8" t="s">
        <v>102</v>
      </c>
      <c r="D4" s="23" t="s">
        <v>103</v>
      </c>
    </row>
    <row r="5" spans="1:4" x14ac:dyDescent="0.25">
      <c r="A5" s="16" t="s">
        <v>0</v>
      </c>
      <c r="B5" s="16" t="s">
        <v>0</v>
      </c>
      <c r="C5" s="7" t="s">
        <v>50</v>
      </c>
      <c r="D5" s="16" t="s">
        <v>0</v>
      </c>
    </row>
    <row r="6" spans="1:4" x14ac:dyDescent="0.25">
      <c r="A6" s="3" t="s">
        <v>104</v>
      </c>
      <c r="B6" s="3" t="s">
        <v>289</v>
      </c>
      <c r="C6" s="4"/>
      <c r="D6" s="3" t="s">
        <v>0</v>
      </c>
    </row>
    <row r="7" spans="1:4" x14ac:dyDescent="0.25">
      <c r="A7" s="3" t="s">
        <v>108</v>
      </c>
      <c r="B7" s="3" t="s">
        <v>290</v>
      </c>
      <c r="C7" s="4"/>
      <c r="D7" s="3" t="s">
        <v>0</v>
      </c>
    </row>
    <row r="8" spans="1:4" x14ac:dyDescent="0.25">
      <c r="A8" s="3" t="s">
        <v>291</v>
      </c>
      <c r="B8" s="3" t="s">
        <v>292</v>
      </c>
      <c r="C8" s="4">
        <v>20</v>
      </c>
      <c r="D8" s="3" t="s">
        <v>0</v>
      </c>
    </row>
    <row r="9" spans="1:4" x14ac:dyDescent="0.25">
      <c r="A9" s="3" t="s">
        <v>110</v>
      </c>
      <c r="B9" s="3" t="s">
        <v>293</v>
      </c>
      <c r="C9" s="4"/>
      <c r="D9" s="3" t="s">
        <v>0</v>
      </c>
    </row>
    <row r="10" spans="1:4" x14ac:dyDescent="0.25">
      <c r="A10" s="3" t="s">
        <v>112</v>
      </c>
      <c r="B10" s="3" t="s">
        <v>294</v>
      </c>
      <c r="C10" s="4"/>
      <c r="D10" s="3" t="s">
        <v>0</v>
      </c>
    </row>
    <row r="11" spans="1:4" x14ac:dyDescent="0.25">
      <c r="A11" s="3" t="s">
        <v>114</v>
      </c>
      <c r="B11" s="3" t="s">
        <v>295</v>
      </c>
      <c r="C11" s="4"/>
      <c r="D11" s="3" t="s">
        <v>0</v>
      </c>
    </row>
    <row r="12" spans="1:4" x14ac:dyDescent="0.25">
      <c r="A12" s="3" t="s">
        <v>116</v>
      </c>
      <c r="B12" s="3" t="s">
        <v>296</v>
      </c>
      <c r="C12" s="4">
        <v>240</v>
      </c>
      <c r="D12" s="3" t="s">
        <v>0</v>
      </c>
    </row>
    <row r="13" spans="1:4" ht="24" x14ac:dyDescent="0.25">
      <c r="A13" s="3" t="s">
        <v>120</v>
      </c>
      <c r="B13" s="3" t="s">
        <v>297</v>
      </c>
      <c r="C13" s="4"/>
      <c r="D13" s="3" t="s">
        <v>0</v>
      </c>
    </row>
    <row r="14" spans="1:4" x14ac:dyDescent="0.25">
      <c r="A14" s="3" t="s">
        <v>122</v>
      </c>
      <c r="B14" s="3" t="s">
        <v>298</v>
      </c>
      <c r="C14" s="4"/>
      <c r="D14" s="3" t="s">
        <v>0</v>
      </c>
    </row>
    <row r="15" spans="1:4" x14ac:dyDescent="0.25">
      <c r="A15" s="3" t="s">
        <v>147</v>
      </c>
      <c r="B15" s="3" t="s">
        <v>299</v>
      </c>
      <c r="C15" s="4"/>
      <c r="D15" s="3" t="s">
        <v>0</v>
      </c>
    </row>
    <row r="16" spans="1:4" x14ac:dyDescent="0.25">
      <c r="A16" s="3" t="s">
        <v>173</v>
      </c>
      <c r="B16" s="3" t="s">
        <v>300</v>
      </c>
      <c r="C16" s="4"/>
      <c r="D16" s="3" t="s">
        <v>0</v>
      </c>
    </row>
    <row r="17" spans="1:4" x14ac:dyDescent="0.25">
      <c r="A17" s="3" t="s">
        <v>175</v>
      </c>
      <c r="B17" s="3" t="s">
        <v>301</v>
      </c>
      <c r="C17" s="4"/>
      <c r="D17" s="3" t="s">
        <v>0</v>
      </c>
    </row>
    <row r="18" spans="1:4" x14ac:dyDescent="0.25">
      <c r="A18" s="3" t="s">
        <v>193</v>
      </c>
      <c r="B18" s="3" t="s">
        <v>302</v>
      </c>
      <c r="C18" s="4"/>
      <c r="D18" s="3" t="s">
        <v>0</v>
      </c>
    </row>
    <row r="19" spans="1:4" x14ac:dyDescent="0.25">
      <c r="A19" s="6" t="s">
        <v>0</v>
      </c>
      <c r="B19" s="5" t="s">
        <v>124</v>
      </c>
      <c r="C19" s="6">
        <f>SUM(C6:C18)</f>
        <v>260</v>
      </c>
      <c r="D19" s="6" t="s">
        <v>0</v>
      </c>
    </row>
    <row r="21" spans="1:4" x14ac:dyDescent="0.25">
      <c r="A21" s="10" t="s">
        <v>97</v>
      </c>
      <c r="B21" s="11"/>
      <c r="C21" s="21" t="s">
        <v>98</v>
      </c>
      <c r="D21" s="11"/>
    </row>
  </sheetData>
  <mergeCells count="8">
    <mergeCell ref="A21:B21"/>
    <mergeCell ref="C21:D21"/>
    <mergeCell ref="A1:D1"/>
    <mergeCell ref="A2:D2"/>
    <mergeCell ref="A3:D3"/>
    <mergeCell ref="A4:A5"/>
    <mergeCell ref="B4:B5"/>
    <mergeCell ref="D4:D5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90" zoomScaleNormal="90" workbookViewId="0">
      <selection activeCell="C9" sqref="C9"/>
    </sheetView>
  </sheetViews>
  <sheetFormatPr defaultRowHeight="15" x14ac:dyDescent="0.25"/>
  <cols>
    <col min="1" max="1" width="6" customWidth="1"/>
    <col min="2" max="2" width="95" customWidth="1"/>
    <col min="3" max="3" width="14" customWidth="1"/>
    <col min="4" max="4" width="25" customWidth="1"/>
  </cols>
  <sheetData>
    <row r="1" spans="1:4" x14ac:dyDescent="0.25">
      <c r="A1" s="26" t="s">
        <v>10</v>
      </c>
      <c r="B1" s="11"/>
      <c r="C1" s="11"/>
      <c r="D1" s="11"/>
    </row>
    <row r="2" spans="1:4" x14ac:dyDescent="0.25">
      <c r="A2" s="26" t="s">
        <v>99</v>
      </c>
      <c r="B2" s="11"/>
      <c r="C2" s="11"/>
      <c r="D2" s="11"/>
    </row>
    <row r="3" spans="1:4" x14ac:dyDescent="0.25">
      <c r="A3" s="26" t="s">
        <v>303</v>
      </c>
      <c r="B3" s="11"/>
      <c r="C3" s="11"/>
      <c r="D3" s="11"/>
    </row>
    <row r="4" spans="1:4" ht="25.5" x14ac:dyDescent="0.25">
      <c r="A4" s="23" t="s">
        <v>12</v>
      </c>
      <c r="B4" s="23" t="s">
        <v>101</v>
      </c>
      <c r="C4" s="8" t="s">
        <v>102</v>
      </c>
      <c r="D4" s="23" t="s">
        <v>103</v>
      </c>
    </row>
    <row r="5" spans="1:4" x14ac:dyDescent="0.25">
      <c r="A5" s="16" t="s">
        <v>0</v>
      </c>
      <c r="B5" s="16" t="s">
        <v>0</v>
      </c>
      <c r="C5" s="7" t="s">
        <v>50</v>
      </c>
      <c r="D5" s="16" t="s">
        <v>0</v>
      </c>
    </row>
    <row r="6" spans="1:4" x14ac:dyDescent="0.25">
      <c r="A6" s="3" t="s">
        <v>104</v>
      </c>
      <c r="B6" s="3" t="s">
        <v>304</v>
      </c>
      <c r="C6" s="4"/>
      <c r="D6" s="3" t="s">
        <v>0</v>
      </c>
    </row>
    <row r="7" spans="1:4" x14ac:dyDescent="0.25">
      <c r="A7" s="3" t="s">
        <v>108</v>
      </c>
      <c r="B7" s="3" t="s">
        <v>305</v>
      </c>
      <c r="C7" s="4"/>
      <c r="D7" s="3" t="s">
        <v>0</v>
      </c>
    </row>
    <row r="8" spans="1:4" x14ac:dyDescent="0.25">
      <c r="A8" s="6" t="s">
        <v>0</v>
      </c>
      <c r="B8" s="5" t="s">
        <v>124</v>
      </c>
      <c r="C8" s="6">
        <f>SUM(C6:C7)</f>
        <v>0</v>
      </c>
      <c r="D8" s="6" t="s">
        <v>0</v>
      </c>
    </row>
    <row r="10" spans="1:4" x14ac:dyDescent="0.25">
      <c r="A10" s="10" t="s">
        <v>97</v>
      </c>
      <c r="B10" s="11"/>
      <c r="C10" s="21" t="s">
        <v>98</v>
      </c>
      <c r="D10" s="11"/>
    </row>
  </sheetData>
  <mergeCells count="8">
    <mergeCell ref="A10:B10"/>
    <mergeCell ref="C10:D10"/>
    <mergeCell ref="A1:D1"/>
    <mergeCell ref="A2:D2"/>
    <mergeCell ref="A3:D3"/>
    <mergeCell ref="A4:A5"/>
    <mergeCell ref="B4:B5"/>
    <mergeCell ref="D4:D5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="90" zoomScaleNormal="90" workbookViewId="0">
      <selection activeCell="C16" sqref="C16"/>
    </sheetView>
  </sheetViews>
  <sheetFormatPr defaultRowHeight="15" x14ac:dyDescent="0.25"/>
  <cols>
    <col min="1" max="1" width="6" customWidth="1"/>
    <col min="2" max="2" width="95" customWidth="1"/>
    <col min="3" max="3" width="14" customWidth="1"/>
    <col min="4" max="4" width="25" customWidth="1"/>
  </cols>
  <sheetData>
    <row r="1" spans="1:4" x14ac:dyDescent="0.25">
      <c r="A1" s="26" t="s">
        <v>10</v>
      </c>
      <c r="B1" s="11"/>
      <c r="C1" s="11"/>
      <c r="D1" s="11"/>
    </row>
    <row r="2" spans="1:4" x14ac:dyDescent="0.25">
      <c r="A2" s="26" t="s">
        <v>99</v>
      </c>
      <c r="B2" s="11"/>
      <c r="C2" s="11"/>
      <c r="D2" s="11"/>
    </row>
    <row r="3" spans="1:4" x14ac:dyDescent="0.25">
      <c r="A3" s="26" t="s">
        <v>306</v>
      </c>
      <c r="B3" s="11"/>
      <c r="C3" s="11"/>
      <c r="D3" s="11"/>
    </row>
    <row r="4" spans="1:4" ht="25.5" x14ac:dyDescent="0.25">
      <c r="A4" s="23" t="s">
        <v>12</v>
      </c>
      <c r="B4" s="23" t="s">
        <v>101</v>
      </c>
      <c r="C4" s="8" t="s">
        <v>102</v>
      </c>
      <c r="D4" s="23" t="s">
        <v>103</v>
      </c>
    </row>
    <row r="5" spans="1:4" x14ac:dyDescent="0.25">
      <c r="A5" s="16" t="s">
        <v>0</v>
      </c>
      <c r="B5" s="16" t="s">
        <v>0</v>
      </c>
      <c r="C5" s="7" t="s">
        <v>50</v>
      </c>
      <c r="D5" s="16" t="s">
        <v>0</v>
      </c>
    </row>
    <row r="6" spans="1:4" ht="24" x14ac:dyDescent="0.25">
      <c r="A6" s="3" t="s">
        <v>104</v>
      </c>
      <c r="B6" s="3" t="s">
        <v>307</v>
      </c>
      <c r="C6" s="4"/>
      <c r="D6" s="3" t="s">
        <v>0</v>
      </c>
    </row>
    <row r="7" spans="1:4" x14ac:dyDescent="0.25">
      <c r="A7" s="3" t="s">
        <v>108</v>
      </c>
      <c r="B7" s="3" t="s">
        <v>308</v>
      </c>
      <c r="C7" s="4"/>
      <c r="D7" s="3" t="s">
        <v>0</v>
      </c>
    </row>
    <row r="8" spans="1:4" x14ac:dyDescent="0.25">
      <c r="A8" s="3" t="s">
        <v>110</v>
      </c>
      <c r="B8" s="3" t="s">
        <v>309</v>
      </c>
      <c r="C8" s="4"/>
      <c r="D8" s="3" t="s">
        <v>0</v>
      </c>
    </row>
    <row r="9" spans="1:4" x14ac:dyDescent="0.25">
      <c r="A9" s="3" t="s">
        <v>112</v>
      </c>
      <c r="B9" s="3" t="s">
        <v>310</v>
      </c>
      <c r="C9" s="4"/>
      <c r="D9" s="3" t="s">
        <v>0</v>
      </c>
    </row>
    <row r="10" spans="1:4" ht="24" x14ac:dyDescent="0.25">
      <c r="A10" s="3" t="s">
        <v>114</v>
      </c>
      <c r="B10" s="3" t="s">
        <v>311</v>
      </c>
      <c r="C10" s="4"/>
      <c r="D10" s="3" t="s">
        <v>0</v>
      </c>
    </row>
    <row r="11" spans="1:4" x14ac:dyDescent="0.25">
      <c r="A11" s="3" t="s">
        <v>120</v>
      </c>
      <c r="B11" s="3" t="s">
        <v>312</v>
      </c>
      <c r="C11" s="4"/>
      <c r="D11" s="3" t="s">
        <v>0</v>
      </c>
    </row>
    <row r="12" spans="1:4" x14ac:dyDescent="0.25">
      <c r="A12" s="3" t="s">
        <v>122</v>
      </c>
      <c r="B12" s="3" t="s">
        <v>313</v>
      </c>
      <c r="C12" s="4"/>
      <c r="D12" s="3" t="s">
        <v>0</v>
      </c>
    </row>
    <row r="13" spans="1:4" x14ac:dyDescent="0.25">
      <c r="A13" s="3" t="s">
        <v>147</v>
      </c>
      <c r="B13" s="3" t="s">
        <v>314</v>
      </c>
      <c r="C13" s="4"/>
      <c r="D13" s="3" t="s">
        <v>0</v>
      </c>
    </row>
    <row r="14" spans="1:4" x14ac:dyDescent="0.25">
      <c r="A14" s="3" t="s">
        <v>173</v>
      </c>
      <c r="B14" s="3" t="s">
        <v>315</v>
      </c>
      <c r="C14" s="4"/>
      <c r="D14" s="3" t="s">
        <v>0</v>
      </c>
    </row>
    <row r="15" spans="1:4" x14ac:dyDescent="0.25">
      <c r="A15" s="6" t="s">
        <v>0</v>
      </c>
      <c r="B15" s="5" t="s">
        <v>124</v>
      </c>
      <c r="C15" s="6">
        <f>SUM(C6:C14)</f>
        <v>0</v>
      </c>
      <c r="D15" s="6" t="s">
        <v>0</v>
      </c>
    </row>
    <row r="17" spans="1:4" x14ac:dyDescent="0.25">
      <c r="A17" s="10" t="s">
        <v>97</v>
      </c>
      <c r="B17" s="11"/>
      <c r="C17" s="21" t="s">
        <v>98</v>
      </c>
      <c r="D17" s="11"/>
    </row>
  </sheetData>
  <mergeCells count="8">
    <mergeCell ref="A17:B17"/>
    <mergeCell ref="C17:D17"/>
    <mergeCell ref="A1:D1"/>
    <mergeCell ref="A2:D2"/>
    <mergeCell ref="A3:D3"/>
    <mergeCell ref="A4:A5"/>
    <mergeCell ref="B4:B5"/>
    <mergeCell ref="D4:D5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="90" zoomScaleNormal="90" workbookViewId="0">
      <selection activeCell="A10" sqref="A10:D10"/>
    </sheetView>
  </sheetViews>
  <sheetFormatPr defaultRowHeight="15" x14ac:dyDescent="0.25"/>
  <cols>
    <col min="1" max="1" width="6" customWidth="1"/>
    <col min="2" max="2" width="65" customWidth="1"/>
    <col min="3" max="3" width="14" customWidth="1"/>
    <col min="4" max="4" width="7" customWidth="1"/>
  </cols>
  <sheetData>
    <row r="1" spans="1:4" x14ac:dyDescent="0.25">
      <c r="A1" s="26" t="s">
        <v>316</v>
      </c>
      <c r="B1" s="11"/>
      <c r="C1" s="11"/>
      <c r="D1" s="11"/>
    </row>
    <row r="2" spans="1:4" x14ac:dyDescent="0.25">
      <c r="A2" s="26" t="s">
        <v>2</v>
      </c>
      <c r="B2" s="11"/>
      <c r="C2" s="11"/>
      <c r="D2" s="11"/>
    </row>
    <row r="3" spans="1:4" x14ac:dyDescent="0.25">
      <c r="A3" s="26" t="s">
        <v>317</v>
      </c>
      <c r="B3" s="11"/>
      <c r="C3" s="11"/>
      <c r="D3" s="11"/>
    </row>
    <row r="4" spans="1:4" x14ac:dyDescent="0.25">
      <c r="A4" s="1" t="s">
        <v>0</v>
      </c>
      <c r="B4" s="8" t="s">
        <v>318</v>
      </c>
      <c r="C4" s="6">
        <v>1459</v>
      </c>
      <c r="D4" s="1" t="s">
        <v>0</v>
      </c>
    </row>
    <row r="5" spans="1:4" x14ac:dyDescent="0.25">
      <c r="A5" s="1" t="s">
        <v>0</v>
      </c>
      <c r="B5" s="8" t="s">
        <v>319</v>
      </c>
      <c r="C5" s="6">
        <v>1459</v>
      </c>
      <c r="D5" s="1" t="s">
        <v>0</v>
      </c>
    </row>
    <row r="6" spans="1:4" x14ac:dyDescent="0.25">
      <c r="A6" s="1" t="s">
        <v>0</v>
      </c>
      <c r="B6" s="8" t="s">
        <v>320</v>
      </c>
      <c r="C6" s="6">
        <v>890</v>
      </c>
      <c r="D6" s="1" t="s">
        <v>0</v>
      </c>
    </row>
    <row r="7" spans="1:4" x14ac:dyDescent="0.25">
      <c r="A7" s="1" t="s">
        <v>0</v>
      </c>
      <c r="B7" s="8" t="s">
        <v>321</v>
      </c>
      <c r="C7" s="6">
        <v>569</v>
      </c>
      <c r="D7" s="1" t="s">
        <v>0</v>
      </c>
    </row>
    <row r="8" spans="1:4" x14ac:dyDescent="0.25">
      <c r="A8" s="26" t="s">
        <v>0</v>
      </c>
      <c r="B8" s="11"/>
      <c r="C8" s="11"/>
      <c r="D8" s="11"/>
    </row>
    <row r="9" spans="1:4" x14ac:dyDescent="0.25">
      <c r="A9" s="1" t="s">
        <v>0</v>
      </c>
      <c r="B9" s="8" t="s">
        <v>322</v>
      </c>
      <c r="C9" s="6">
        <f>SUM(C13:C25)</f>
        <v>1460</v>
      </c>
      <c r="D9" s="1" t="s">
        <v>0</v>
      </c>
    </row>
    <row r="10" spans="1:4" x14ac:dyDescent="0.25">
      <c r="A10" s="26" t="s">
        <v>0</v>
      </c>
      <c r="B10" s="11"/>
      <c r="C10" s="11"/>
      <c r="D10" s="11"/>
    </row>
    <row r="11" spans="1:4" ht="25.5" x14ac:dyDescent="0.25">
      <c r="A11" s="23" t="s">
        <v>12</v>
      </c>
      <c r="B11" s="23" t="s">
        <v>101</v>
      </c>
      <c r="C11" s="8" t="s">
        <v>102</v>
      </c>
    </row>
    <row r="12" spans="1:4" x14ac:dyDescent="0.25">
      <c r="A12" s="16" t="s">
        <v>0</v>
      </c>
      <c r="B12" s="16" t="s">
        <v>0</v>
      </c>
      <c r="C12" s="6" t="s">
        <v>50</v>
      </c>
      <c r="D12" s="1" t="s">
        <v>0</v>
      </c>
    </row>
    <row r="13" spans="1:4" x14ac:dyDescent="0.25">
      <c r="A13" s="8" t="s">
        <v>104</v>
      </c>
      <c r="B13" s="8" t="s">
        <v>323</v>
      </c>
      <c r="C13" s="6">
        <v>860</v>
      </c>
    </row>
    <row r="14" spans="1:4" x14ac:dyDescent="0.25">
      <c r="A14" s="8" t="s">
        <v>108</v>
      </c>
      <c r="B14" s="8" t="s">
        <v>324</v>
      </c>
      <c r="C14" s="6">
        <f>'Неконтактная работа'!$C$16</f>
        <v>166</v>
      </c>
    </row>
    <row r="15" spans="1:4" x14ac:dyDescent="0.25">
      <c r="A15" s="8" t="s">
        <v>110</v>
      </c>
      <c r="B15" s="8" t="s">
        <v>325</v>
      </c>
      <c r="C15" s="6">
        <f>'Метод. работа'!$C$62</f>
        <v>174</v>
      </c>
    </row>
    <row r="16" spans="1:4" x14ac:dyDescent="0.25">
      <c r="A16" s="8" t="s">
        <v>112</v>
      </c>
      <c r="B16" s="8" t="s">
        <v>326</v>
      </c>
      <c r="C16" s="6">
        <f>'Электр. обучение'!$C$11</f>
        <v>0</v>
      </c>
    </row>
    <row r="17" spans="1:3" x14ac:dyDescent="0.25">
      <c r="A17" s="8" t="s">
        <v>114</v>
      </c>
      <c r="B17" s="8" t="s">
        <v>327</v>
      </c>
      <c r="C17" s="6">
        <f>'Научная работа'!$C$44</f>
        <v>0</v>
      </c>
    </row>
    <row r="18" spans="1:3" x14ac:dyDescent="0.25">
      <c r="A18" s="8" t="s">
        <v>120</v>
      </c>
      <c r="B18" s="8" t="s">
        <v>328</v>
      </c>
      <c r="C18" s="6">
        <f>'Орг. работа'!$C$19</f>
        <v>260</v>
      </c>
    </row>
    <row r="19" spans="1:3" x14ac:dyDescent="0.25">
      <c r="A19" s="8" t="s">
        <v>122</v>
      </c>
      <c r="B19" s="8" t="s">
        <v>329</v>
      </c>
      <c r="C19" s="6">
        <f>'Повыш. квалификации'!$C$8</f>
        <v>0</v>
      </c>
    </row>
    <row r="20" spans="1:3" x14ac:dyDescent="0.25">
      <c r="A20" s="8" t="s">
        <v>147</v>
      </c>
      <c r="B20" s="8" t="s">
        <v>330</v>
      </c>
      <c r="C20" s="6">
        <f>'Поручения рук. напр.'!$C$15</f>
        <v>0</v>
      </c>
    </row>
  </sheetData>
  <mergeCells count="7">
    <mergeCell ref="A11:A12"/>
    <mergeCell ref="B11:B12"/>
    <mergeCell ref="A1:D1"/>
    <mergeCell ref="A2:D2"/>
    <mergeCell ref="A3:D3"/>
    <mergeCell ref="A8:D8"/>
    <mergeCell ref="A10:D10"/>
  </mergeCells>
  <phoneticPr fontId="1" type="noConversion"/>
  <pageMargins left="0.3" right="0.3" top="0.75" bottom="0.75" header="0.3" footer="0.3"/>
  <pageSetup paperSize="9" orientation="landscape" horizontalDpi="400" verticalDpi="4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Титульный лист</vt:lpstr>
      <vt:lpstr>Учебная нагрузка</vt:lpstr>
      <vt:lpstr>Неконтактная работа</vt:lpstr>
      <vt:lpstr>Метод. работа</vt:lpstr>
      <vt:lpstr>Электр. обучение</vt:lpstr>
      <vt:lpstr>Научная работа</vt:lpstr>
      <vt:lpstr>Орг. работа</vt:lpstr>
      <vt:lpstr>Повыш. квалификации</vt:lpstr>
      <vt:lpstr>Поручения рук. напр.</vt:lpstr>
      <vt:lpstr>ИТОГИ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Рылов Алексей</dc:creator>
  <cp:lastModifiedBy>Антонов Андрей</cp:lastModifiedBy>
  <dcterms:created xsi:type="dcterms:W3CDTF">2021-01-20T00:21:54Z</dcterms:created>
  <dcterms:modified xsi:type="dcterms:W3CDTF">2026-02-12T03:53:01Z</dcterms:modified>
</cp:coreProperties>
</file>