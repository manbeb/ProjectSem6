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Qweeck\PycharmProjects\vvsu_project\"/>
    </mc:Choice>
  </mc:AlternateContent>
  <xr:revisionPtr revIDLastSave="0" documentId="13_ncr:1_{4C51D89E-7533-4AFB-B8B5-9AFA915F3C52}" xr6:coauthVersionLast="47" xr6:coauthVersionMax="47" xr10:uidLastSave="{00000000-0000-0000-0000-000000000000}"/>
  <bookViews>
    <workbookView xWindow="2895" yWindow="2220" windowWidth="21600" windowHeight="13965" xr2:uid="{00000000-000D-0000-FFFF-FFFF00000000}"/>
  </bookViews>
  <sheets>
    <sheet name="file" sheetId="2" r:id="rId1"/>
  </sheets>
  <definedNames>
    <definedName name="_xlnm._FilterDatabase" localSheetId="0" hidden="1">file!$A$7:$AN$435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2" l="1"/>
  <c r="AP434" i="2"/>
  <c r="AO434" i="2"/>
  <c r="AP433" i="2"/>
  <c r="AO433" i="2"/>
  <c r="AP432" i="2"/>
  <c r="AO432" i="2"/>
  <c r="AP431" i="2"/>
  <c r="AO431" i="2"/>
  <c r="AP430" i="2"/>
  <c r="AO430" i="2"/>
  <c r="AP429" i="2"/>
  <c r="AO429" i="2"/>
  <c r="AP428" i="2"/>
  <c r="AO428" i="2"/>
  <c r="AP427" i="2"/>
  <c r="AO427" i="2"/>
  <c r="AP426" i="2"/>
  <c r="AO426" i="2"/>
  <c r="AP425" i="2"/>
  <c r="AO425" i="2"/>
  <c r="AP424" i="2"/>
  <c r="AO424" i="2"/>
  <c r="AP423" i="2"/>
  <c r="AO423" i="2"/>
  <c r="AP422" i="2"/>
  <c r="AO422" i="2"/>
  <c r="AP421" i="2"/>
  <c r="AO421" i="2"/>
  <c r="AP420" i="2"/>
  <c r="AO420" i="2"/>
  <c r="AP419" i="2"/>
  <c r="AO419" i="2"/>
  <c r="AP418" i="2"/>
  <c r="AO418" i="2"/>
  <c r="AP417" i="2"/>
  <c r="AO417" i="2"/>
  <c r="AP416" i="2"/>
  <c r="AO416" i="2"/>
  <c r="AP415" i="2"/>
  <c r="AO415" i="2"/>
  <c r="AP414" i="2"/>
  <c r="AO414" i="2"/>
  <c r="AP413" i="2"/>
  <c r="AO413" i="2"/>
  <c r="AP412" i="2"/>
  <c r="AO412" i="2"/>
  <c r="AP411" i="2"/>
  <c r="AO411" i="2"/>
  <c r="AP410" i="2"/>
  <c r="AO410" i="2"/>
  <c r="AP409" i="2"/>
  <c r="AO409" i="2"/>
  <c r="AP408" i="2"/>
  <c r="AO408" i="2"/>
  <c r="AP407" i="2"/>
  <c r="AO407" i="2"/>
  <c r="AP406" i="2"/>
  <c r="AO406" i="2"/>
  <c r="AP405" i="2"/>
  <c r="AO405" i="2"/>
  <c r="AP404" i="2"/>
  <c r="AO404" i="2"/>
  <c r="AP403" i="2"/>
  <c r="AO403" i="2"/>
  <c r="AP402" i="2"/>
  <c r="AO402" i="2"/>
  <c r="AP401" i="2"/>
  <c r="AO401" i="2"/>
  <c r="AP400" i="2"/>
  <c r="AO400" i="2"/>
  <c r="AP399" i="2"/>
  <c r="AO399" i="2"/>
  <c r="AP398" i="2"/>
  <c r="AO398" i="2"/>
  <c r="AP397" i="2"/>
  <c r="AO397" i="2"/>
  <c r="AP396" i="2"/>
  <c r="AO396" i="2"/>
  <c r="AP395" i="2"/>
  <c r="AO395" i="2"/>
  <c r="AP394" i="2"/>
  <c r="AO394" i="2"/>
  <c r="AP393" i="2"/>
  <c r="AO393" i="2"/>
  <c r="AP392" i="2"/>
  <c r="AO392" i="2"/>
  <c r="AP391" i="2"/>
  <c r="AO391" i="2"/>
  <c r="AP390" i="2"/>
  <c r="AO390" i="2"/>
  <c r="AP389" i="2"/>
  <c r="AO389" i="2"/>
  <c r="AP388" i="2"/>
  <c r="AO388" i="2"/>
  <c r="AP387" i="2"/>
  <c r="AO387" i="2"/>
  <c r="AP386" i="2"/>
  <c r="AO386" i="2"/>
  <c r="AP385" i="2"/>
  <c r="AO385" i="2"/>
  <c r="AP384" i="2"/>
  <c r="AO384" i="2"/>
  <c r="AP383" i="2"/>
  <c r="AO383" i="2"/>
  <c r="AP382" i="2"/>
  <c r="AO382" i="2"/>
  <c r="AP381" i="2"/>
  <c r="AO381" i="2"/>
  <c r="AP380" i="2"/>
  <c r="AO380" i="2"/>
  <c r="AP379" i="2"/>
  <c r="AO379" i="2"/>
  <c r="AP378" i="2"/>
  <c r="AO378" i="2"/>
  <c r="AP377" i="2"/>
  <c r="AO377" i="2"/>
  <c r="AP376" i="2"/>
  <c r="AO376" i="2"/>
  <c r="AP375" i="2"/>
  <c r="AO375" i="2"/>
  <c r="AP374" i="2"/>
  <c r="AO374" i="2"/>
  <c r="AP373" i="2"/>
  <c r="AO373" i="2"/>
  <c r="AP372" i="2"/>
  <c r="AO372" i="2"/>
  <c r="AP371" i="2"/>
  <c r="AO371" i="2"/>
  <c r="AP370" i="2"/>
  <c r="AO370" i="2"/>
  <c r="AP369" i="2"/>
  <c r="AO369" i="2"/>
  <c r="AP368" i="2"/>
  <c r="AO368" i="2"/>
  <c r="AP367" i="2"/>
  <c r="AO367" i="2"/>
  <c r="AP366" i="2"/>
  <c r="AO366" i="2"/>
  <c r="AP365" i="2"/>
  <c r="AO365" i="2"/>
  <c r="AP364" i="2"/>
  <c r="AO364" i="2"/>
  <c r="AP363" i="2"/>
  <c r="AO363" i="2"/>
  <c r="AP362" i="2"/>
  <c r="AO362" i="2"/>
  <c r="AP361" i="2"/>
  <c r="AO361" i="2"/>
  <c r="AP360" i="2"/>
  <c r="AO360" i="2"/>
  <c r="AP359" i="2"/>
  <c r="AO359" i="2"/>
  <c r="AP358" i="2"/>
  <c r="AO358" i="2"/>
  <c r="AP357" i="2"/>
  <c r="AO357" i="2"/>
  <c r="AP356" i="2"/>
  <c r="AO356" i="2"/>
  <c r="AP355" i="2"/>
  <c r="AO355" i="2"/>
  <c r="AP354" i="2"/>
  <c r="AO354" i="2"/>
  <c r="AP353" i="2"/>
  <c r="AO353" i="2"/>
  <c r="AP352" i="2"/>
  <c r="AO352" i="2"/>
  <c r="AP351" i="2"/>
  <c r="AO351" i="2"/>
  <c r="AP350" i="2"/>
  <c r="AO350" i="2"/>
  <c r="AP349" i="2"/>
  <c r="AO349" i="2"/>
  <c r="AP348" i="2"/>
  <c r="AO348" i="2"/>
  <c r="AP347" i="2"/>
  <c r="AO347" i="2"/>
  <c r="AP346" i="2"/>
  <c r="AO346" i="2"/>
  <c r="AP345" i="2"/>
  <c r="AO345" i="2"/>
  <c r="AP344" i="2"/>
  <c r="AO344" i="2"/>
  <c r="AP343" i="2"/>
  <c r="AO343" i="2"/>
  <c r="AP342" i="2"/>
  <c r="AO342" i="2"/>
  <c r="AP341" i="2"/>
  <c r="AO341" i="2"/>
  <c r="AP340" i="2"/>
  <c r="AO340" i="2"/>
  <c r="AP339" i="2"/>
  <c r="AO339" i="2"/>
  <c r="AP338" i="2"/>
  <c r="AO338" i="2"/>
  <c r="AP337" i="2"/>
  <c r="AO337" i="2"/>
  <c r="AP336" i="2"/>
  <c r="AO336" i="2"/>
  <c r="AP335" i="2"/>
  <c r="AO335" i="2"/>
  <c r="AP334" i="2"/>
  <c r="AO334" i="2"/>
  <c r="AP333" i="2"/>
  <c r="AO333" i="2"/>
  <c r="AP332" i="2"/>
  <c r="AO332" i="2"/>
  <c r="AP331" i="2"/>
  <c r="AO331" i="2"/>
  <c r="AP330" i="2"/>
  <c r="AO330" i="2"/>
  <c r="AP329" i="2"/>
  <c r="AO329" i="2"/>
  <c r="AP328" i="2"/>
  <c r="AO328" i="2"/>
  <c r="AP327" i="2"/>
  <c r="AO327" i="2"/>
  <c r="AP326" i="2"/>
  <c r="AO326" i="2"/>
  <c r="AP325" i="2"/>
  <c r="AO325" i="2"/>
  <c r="AP324" i="2"/>
  <c r="AO324" i="2"/>
  <c r="AP323" i="2"/>
  <c r="AO323" i="2"/>
  <c r="AP322" i="2"/>
  <c r="AO322" i="2"/>
  <c r="AP321" i="2"/>
  <c r="AO321" i="2"/>
  <c r="AP320" i="2"/>
  <c r="AO320" i="2"/>
  <c r="AP319" i="2"/>
  <c r="AO319" i="2"/>
  <c r="AP318" i="2"/>
  <c r="AO318" i="2"/>
  <c r="AP317" i="2"/>
  <c r="AO317" i="2"/>
  <c r="AP316" i="2"/>
  <c r="AO316" i="2"/>
  <c r="AP315" i="2"/>
  <c r="AO315" i="2"/>
  <c r="AP314" i="2"/>
  <c r="AO314" i="2"/>
  <c r="AP313" i="2"/>
  <c r="AO313" i="2"/>
  <c r="AP312" i="2"/>
  <c r="AO312" i="2"/>
  <c r="AP311" i="2"/>
  <c r="AO311" i="2"/>
  <c r="AP310" i="2"/>
  <c r="AO310" i="2"/>
  <c r="AP309" i="2"/>
  <c r="AO309" i="2"/>
  <c r="AP308" i="2"/>
  <c r="AO308" i="2"/>
  <c r="AP307" i="2"/>
  <c r="AO307" i="2"/>
  <c r="AP306" i="2"/>
  <c r="AO306" i="2"/>
  <c r="AP305" i="2"/>
  <c r="AO305" i="2"/>
  <c r="AP304" i="2"/>
  <c r="AO304" i="2"/>
  <c r="AP303" i="2"/>
  <c r="AO303" i="2"/>
  <c r="AP302" i="2"/>
  <c r="AO302" i="2"/>
  <c r="AP301" i="2"/>
  <c r="AO301" i="2"/>
  <c r="AP300" i="2"/>
  <c r="AO300" i="2"/>
  <c r="AP299" i="2"/>
  <c r="AO299" i="2"/>
  <c r="AP298" i="2"/>
  <c r="AO298" i="2"/>
  <c r="AP297" i="2"/>
  <c r="AO297" i="2"/>
  <c r="AP296" i="2"/>
  <c r="AO296" i="2"/>
  <c r="AP295" i="2"/>
  <c r="AO295" i="2"/>
  <c r="AP294" i="2"/>
  <c r="AO294" i="2"/>
  <c r="AP293" i="2"/>
  <c r="AO293" i="2"/>
  <c r="AP292" i="2"/>
  <c r="AO292" i="2"/>
  <c r="AP291" i="2"/>
  <c r="AO291" i="2"/>
  <c r="AP290" i="2"/>
  <c r="AO290" i="2"/>
  <c r="AP289" i="2"/>
  <c r="AO289" i="2"/>
  <c r="AP288" i="2"/>
  <c r="AO288" i="2"/>
  <c r="AP287" i="2"/>
  <c r="AO287" i="2"/>
  <c r="AP286" i="2"/>
  <c r="AO286" i="2"/>
  <c r="AP285" i="2"/>
  <c r="AO285" i="2"/>
  <c r="AP284" i="2"/>
  <c r="AO284" i="2"/>
  <c r="AP283" i="2"/>
  <c r="AO283" i="2"/>
  <c r="AP282" i="2"/>
  <c r="AO282" i="2"/>
  <c r="AP281" i="2"/>
  <c r="AO281" i="2"/>
  <c r="AP280" i="2"/>
  <c r="AO280" i="2"/>
  <c r="AP279" i="2"/>
  <c r="AO279" i="2"/>
  <c r="AP278" i="2"/>
  <c r="AO278" i="2"/>
  <c r="AP277" i="2"/>
  <c r="AO277" i="2"/>
  <c r="AP276" i="2"/>
  <c r="AO276" i="2"/>
  <c r="AP275" i="2"/>
  <c r="AO275" i="2"/>
  <c r="AP274" i="2"/>
  <c r="AO274" i="2"/>
  <c r="AP273" i="2"/>
  <c r="AO273" i="2"/>
  <c r="AP272" i="2"/>
  <c r="AO272" i="2"/>
  <c r="AP271" i="2"/>
  <c r="AO271" i="2"/>
  <c r="AP270" i="2"/>
  <c r="AO270" i="2"/>
  <c r="AP269" i="2"/>
  <c r="AO269" i="2"/>
  <c r="AP268" i="2"/>
  <c r="AO268" i="2"/>
  <c r="AP267" i="2"/>
  <c r="AO267" i="2"/>
  <c r="AP266" i="2"/>
  <c r="AO266" i="2"/>
  <c r="AP265" i="2"/>
  <c r="AO265" i="2"/>
  <c r="AP264" i="2"/>
  <c r="AO264" i="2"/>
  <c r="AP263" i="2"/>
  <c r="AO263" i="2"/>
  <c r="AP262" i="2"/>
  <c r="AO262" i="2"/>
  <c r="AP261" i="2"/>
  <c r="AO261" i="2"/>
  <c r="AP260" i="2"/>
  <c r="AO260" i="2"/>
  <c r="AP259" i="2"/>
  <c r="AO259" i="2"/>
  <c r="AP258" i="2"/>
  <c r="AO258" i="2"/>
  <c r="AP257" i="2"/>
  <c r="AO257" i="2"/>
  <c r="AP256" i="2"/>
  <c r="AO256" i="2"/>
  <c r="AP255" i="2"/>
  <c r="AO255" i="2"/>
  <c r="AP254" i="2"/>
  <c r="AO254" i="2"/>
  <c r="AP253" i="2"/>
  <c r="AO253" i="2"/>
  <c r="AP252" i="2"/>
  <c r="AO252" i="2"/>
  <c r="AP251" i="2"/>
  <c r="AO251" i="2"/>
  <c r="AP250" i="2"/>
  <c r="AO250" i="2"/>
  <c r="AP249" i="2"/>
  <c r="AO249" i="2"/>
  <c r="AP248" i="2"/>
  <c r="AO248" i="2"/>
  <c r="AP247" i="2"/>
  <c r="AO247" i="2"/>
  <c r="AP246" i="2"/>
  <c r="AO246" i="2"/>
  <c r="AP245" i="2"/>
  <c r="AO245" i="2"/>
  <c r="AP244" i="2"/>
  <c r="AO244" i="2"/>
  <c r="AP243" i="2"/>
  <c r="AO243" i="2"/>
  <c r="AP242" i="2"/>
  <c r="AO242" i="2"/>
  <c r="AP241" i="2"/>
  <c r="AO241" i="2"/>
  <c r="AP240" i="2"/>
  <c r="AO240" i="2"/>
  <c r="AP239" i="2"/>
  <c r="AO239" i="2"/>
  <c r="AP238" i="2"/>
  <c r="AO238" i="2"/>
  <c r="AP237" i="2"/>
  <c r="AO237" i="2"/>
  <c r="AP236" i="2"/>
  <c r="AO236" i="2"/>
  <c r="AP235" i="2"/>
  <c r="AO235" i="2"/>
  <c r="AP234" i="2"/>
  <c r="AO234" i="2"/>
  <c r="AP233" i="2"/>
  <c r="AO233" i="2"/>
  <c r="AP232" i="2"/>
  <c r="AO232" i="2"/>
  <c r="AP231" i="2"/>
  <c r="AO231" i="2"/>
  <c r="AP230" i="2"/>
  <c r="AO230" i="2"/>
  <c r="AP229" i="2"/>
  <c r="AO229" i="2"/>
  <c r="AP228" i="2"/>
  <c r="AO228" i="2"/>
  <c r="AP227" i="2"/>
  <c r="AO227" i="2"/>
  <c r="AP226" i="2"/>
  <c r="AO226" i="2"/>
  <c r="AP225" i="2"/>
  <c r="AO225" i="2"/>
  <c r="AP224" i="2"/>
  <c r="AO224" i="2"/>
  <c r="AP223" i="2"/>
  <c r="AO223" i="2"/>
  <c r="AP222" i="2"/>
  <c r="AO222" i="2"/>
  <c r="AP221" i="2"/>
  <c r="AO221" i="2"/>
  <c r="AP220" i="2"/>
  <c r="AO220" i="2"/>
  <c r="AP219" i="2"/>
  <c r="AO219" i="2"/>
  <c r="AP218" i="2"/>
  <c r="AO218" i="2"/>
  <c r="AP217" i="2"/>
  <c r="AO217" i="2"/>
  <c r="AP216" i="2"/>
  <c r="AO216" i="2"/>
  <c r="AP215" i="2"/>
  <c r="AO215" i="2"/>
  <c r="AP214" i="2"/>
  <c r="AO214" i="2"/>
  <c r="AP213" i="2"/>
  <c r="AO213" i="2"/>
  <c r="AP212" i="2"/>
  <c r="AO212" i="2"/>
  <c r="AP211" i="2"/>
  <c r="AO211" i="2"/>
  <c r="AP210" i="2"/>
  <c r="AO210" i="2"/>
  <c r="AP209" i="2"/>
  <c r="AO209" i="2"/>
  <c r="AP208" i="2"/>
  <c r="AO208" i="2"/>
  <c r="AP207" i="2"/>
  <c r="AO207" i="2"/>
  <c r="AP206" i="2"/>
  <c r="AO206" i="2"/>
  <c r="AP205" i="2"/>
  <c r="AO205" i="2"/>
  <c r="AP204" i="2"/>
  <c r="AO204" i="2"/>
  <c r="AP203" i="2"/>
  <c r="AO203" i="2"/>
  <c r="AP202" i="2"/>
  <c r="AO202" i="2"/>
  <c r="AP201" i="2"/>
  <c r="AO201" i="2"/>
  <c r="AP200" i="2"/>
  <c r="AO200" i="2"/>
  <c r="AP199" i="2"/>
  <c r="AO199" i="2"/>
  <c r="AP198" i="2"/>
  <c r="AO198" i="2"/>
  <c r="AP197" i="2"/>
  <c r="AO197" i="2"/>
  <c r="AP196" i="2"/>
  <c r="AO196" i="2"/>
  <c r="AP195" i="2"/>
  <c r="AO195" i="2"/>
  <c r="AP194" i="2"/>
  <c r="AO194" i="2"/>
  <c r="AP193" i="2"/>
  <c r="AO193" i="2"/>
  <c r="AP192" i="2"/>
  <c r="AO192" i="2"/>
  <c r="AP191" i="2"/>
  <c r="AO191" i="2"/>
  <c r="AP190" i="2"/>
  <c r="AO190" i="2"/>
  <c r="AP189" i="2"/>
  <c r="AO189" i="2"/>
  <c r="AP188" i="2"/>
  <c r="AO188" i="2"/>
  <c r="AP187" i="2"/>
  <c r="AO187" i="2"/>
  <c r="AP186" i="2"/>
  <c r="AO186" i="2"/>
  <c r="AP185" i="2"/>
  <c r="AO185" i="2"/>
  <c r="AP184" i="2"/>
  <c r="AO184" i="2"/>
  <c r="AP183" i="2"/>
  <c r="AO183" i="2"/>
  <c r="AP182" i="2"/>
  <c r="AO182" i="2"/>
  <c r="AP181" i="2"/>
  <c r="AO181" i="2"/>
  <c r="AP180" i="2"/>
  <c r="AO180" i="2"/>
  <c r="AP179" i="2"/>
  <c r="AO179" i="2"/>
  <c r="AP178" i="2"/>
  <c r="AO178" i="2"/>
  <c r="AP177" i="2"/>
  <c r="AO177" i="2"/>
  <c r="AP176" i="2"/>
  <c r="AO176" i="2"/>
  <c r="AP175" i="2"/>
  <c r="AO175" i="2"/>
  <c r="AP174" i="2"/>
  <c r="AO174" i="2"/>
  <c r="AP173" i="2"/>
  <c r="AO173" i="2"/>
  <c r="AP172" i="2"/>
  <c r="AO172" i="2"/>
  <c r="AP171" i="2"/>
  <c r="AO171" i="2"/>
  <c r="AP170" i="2"/>
  <c r="AO170" i="2"/>
  <c r="AP169" i="2"/>
  <c r="AO169" i="2"/>
  <c r="AP168" i="2"/>
  <c r="AO168" i="2"/>
  <c r="AP167" i="2"/>
  <c r="AO167" i="2"/>
  <c r="AP166" i="2"/>
  <c r="AO166" i="2"/>
  <c r="AP165" i="2"/>
  <c r="AO165" i="2"/>
  <c r="AP164" i="2"/>
  <c r="AO164" i="2"/>
  <c r="AP163" i="2"/>
  <c r="AO163" i="2"/>
  <c r="AP162" i="2"/>
  <c r="AO162" i="2"/>
  <c r="AP161" i="2"/>
  <c r="AO161" i="2"/>
  <c r="AP160" i="2"/>
  <c r="AO160" i="2"/>
  <c r="AP159" i="2"/>
  <c r="AO159" i="2"/>
  <c r="AP158" i="2"/>
  <c r="AO158" i="2"/>
  <c r="AP157" i="2"/>
  <c r="AO157" i="2"/>
  <c r="AP156" i="2"/>
  <c r="AO156" i="2"/>
  <c r="AP155" i="2"/>
  <c r="AO155" i="2"/>
  <c r="AP154" i="2"/>
  <c r="AO154" i="2"/>
  <c r="AP153" i="2"/>
  <c r="AO153" i="2"/>
  <c r="AP152" i="2"/>
  <c r="AO152" i="2"/>
  <c r="AP151" i="2"/>
  <c r="AO151" i="2"/>
  <c r="AP150" i="2"/>
  <c r="AO150" i="2"/>
  <c r="AP149" i="2"/>
  <c r="AO149" i="2"/>
  <c r="AP148" i="2"/>
  <c r="AO148" i="2"/>
  <c r="AP147" i="2"/>
  <c r="AO147" i="2"/>
  <c r="AP146" i="2"/>
  <c r="AO146" i="2"/>
  <c r="AP145" i="2"/>
  <c r="AO145" i="2"/>
  <c r="AP144" i="2"/>
  <c r="AO144" i="2"/>
  <c r="AP143" i="2"/>
  <c r="AO143" i="2"/>
  <c r="AP142" i="2"/>
  <c r="AO142" i="2"/>
  <c r="AP141" i="2"/>
  <c r="AO141" i="2"/>
  <c r="AP140" i="2"/>
  <c r="AO140" i="2"/>
  <c r="AP139" i="2"/>
  <c r="AO139" i="2"/>
  <c r="AP138" i="2"/>
  <c r="AO138" i="2"/>
  <c r="AP137" i="2"/>
  <c r="AO137" i="2"/>
  <c r="AP136" i="2"/>
  <c r="AO136" i="2"/>
  <c r="AP135" i="2"/>
  <c r="AO135" i="2"/>
  <c r="AP134" i="2"/>
  <c r="AO134" i="2"/>
  <c r="AP133" i="2"/>
  <c r="AO133" i="2"/>
  <c r="AP132" i="2"/>
  <c r="AO132" i="2"/>
  <c r="AP131" i="2"/>
  <c r="AO131" i="2"/>
  <c r="AP130" i="2"/>
  <c r="AO130" i="2"/>
  <c r="AP129" i="2"/>
  <c r="AO129" i="2"/>
  <c r="AP128" i="2"/>
  <c r="AO128" i="2"/>
  <c r="AP127" i="2"/>
  <c r="AO127" i="2"/>
  <c r="AP126" i="2"/>
  <c r="AO126" i="2"/>
  <c r="AP125" i="2"/>
  <c r="AO125" i="2"/>
  <c r="AP124" i="2"/>
  <c r="AO124" i="2"/>
  <c r="AP123" i="2"/>
  <c r="AO123" i="2"/>
  <c r="AP122" i="2"/>
  <c r="AO122" i="2"/>
  <c r="AP121" i="2"/>
  <c r="AO121" i="2"/>
  <c r="AP120" i="2"/>
  <c r="AO120" i="2"/>
  <c r="AP119" i="2"/>
  <c r="AO119" i="2"/>
  <c r="AP118" i="2"/>
  <c r="AO118" i="2"/>
  <c r="AP117" i="2"/>
  <c r="AO117" i="2"/>
  <c r="AP116" i="2"/>
  <c r="AO116" i="2"/>
  <c r="AP115" i="2"/>
  <c r="AO115" i="2"/>
  <c r="AP114" i="2"/>
  <c r="AO114" i="2"/>
  <c r="AP113" i="2"/>
  <c r="AO113" i="2"/>
  <c r="AP112" i="2"/>
  <c r="AO112" i="2"/>
  <c r="AP111" i="2"/>
  <c r="AO111" i="2"/>
  <c r="AP110" i="2"/>
  <c r="AO110" i="2"/>
  <c r="AP109" i="2"/>
  <c r="AO109" i="2"/>
  <c r="AP108" i="2"/>
  <c r="AO108" i="2"/>
  <c r="AP107" i="2"/>
  <c r="AO107" i="2"/>
  <c r="AP106" i="2"/>
  <c r="AO106" i="2"/>
  <c r="AP105" i="2"/>
  <c r="AO105" i="2"/>
  <c r="AP104" i="2"/>
  <c r="AO104" i="2"/>
  <c r="AP103" i="2"/>
  <c r="AO103" i="2"/>
  <c r="AP102" i="2"/>
  <c r="AO102" i="2"/>
  <c r="AP101" i="2"/>
  <c r="AO101" i="2"/>
  <c r="AP100" i="2"/>
  <c r="AO100" i="2"/>
  <c r="AP99" i="2"/>
  <c r="AO99" i="2"/>
  <c r="AP98" i="2"/>
  <c r="AO98" i="2"/>
  <c r="AP97" i="2"/>
  <c r="AO97" i="2"/>
  <c r="AP96" i="2"/>
  <c r="AO96" i="2"/>
  <c r="AP95" i="2"/>
  <c r="AO95" i="2"/>
  <c r="AP94" i="2"/>
  <c r="AO94" i="2"/>
  <c r="AP93" i="2"/>
  <c r="AO93" i="2"/>
  <c r="AP92" i="2"/>
  <c r="AO92" i="2"/>
  <c r="AP91" i="2"/>
  <c r="AO91" i="2"/>
  <c r="AP90" i="2"/>
  <c r="AO90" i="2"/>
  <c r="AP89" i="2"/>
  <c r="AO89" i="2"/>
  <c r="AP88" i="2"/>
  <c r="AO88" i="2"/>
  <c r="AP87" i="2"/>
  <c r="AO87" i="2"/>
  <c r="AP86" i="2"/>
  <c r="AO86" i="2"/>
  <c r="AP85" i="2"/>
  <c r="AO85" i="2"/>
  <c r="AP84" i="2"/>
  <c r="AO84" i="2"/>
  <c r="AP83" i="2"/>
  <c r="AO83" i="2"/>
  <c r="AP82" i="2"/>
  <c r="AO82" i="2"/>
  <c r="AP81" i="2"/>
  <c r="AO81" i="2"/>
  <c r="AP80" i="2"/>
  <c r="AO80" i="2"/>
  <c r="AP79" i="2"/>
  <c r="AO79" i="2"/>
  <c r="AP78" i="2"/>
  <c r="AO78" i="2"/>
  <c r="AP77" i="2"/>
  <c r="AO77" i="2"/>
  <c r="AP76" i="2"/>
  <c r="AO76" i="2"/>
  <c r="AP75" i="2"/>
  <c r="AO75" i="2"/>
  <c r="AP74" i="2"/>
  <c r="AO74" i="2"/>
  <c r="AP73" i="2"/>
  <c r="AO73" i="2"/>
  <c r="AP72" i="2"/>
  <c r="AO72" i="2"/>
  <c r="AP71" i="2"/>
  <c r="AO71" i="2"/>
  <c r="AP70" i="2"/>
  <c r="AO70" i="2"/>
  <c r="AP69" i="2"/>
  <c r="AO69" i="2"/>
  <c r="AP68" i="2"/>
  <c r="AO68" i="2"/>
  <c r="AP67" i="2"/>
  <c r="AO67" i="2"/>
  <c r="AP66" i="2"/>
  <c r="AO66" i="2"/>
  <c r="AP65" i="2"/>
  <c r="AO65" i="2"/>
  <c r="AP64" i="2"/>
  <c r="AO64" i="2"/>
  <c r="AP63" i="2"/>
  <c r="AO63" i="2"/>
  <c r="AP62" i="2"/>
  <c r="AO62" i="2"/>
  <c r="AP61" i="2"/>
  <c r="AO61" i="2"/>
  <c r="AP60" i="2"/>
  <c r="AO60" i="2"/>
  <c r="AP59" i="2"/>
  <c r="AO59" i="2"/>
  <c r="AP58" i="2"/>
  <c r="AO58" i="2"/>
  <c r="AP57" i="2"/>
  <c r="AO57" i="2"/>
  <c r="AP56" i="2"/>
  <c r="AO56" i="2"/>
  <c r="AP55" i="2"/>
  <c r="AO55" i="2"/>
  <c r="AP54" i="2"/>
  <c r="AO54" i="2"/>
  <c r="AP53" i="2"/>
  <c r="AO53" i="2"/>
  <c r="AP52" i="2"/>
  <c r="AO52" i="2"/>
  <c r="AP51" i="2"/>
  <c r="AO51" i="2"/>
  <c r="AP50" i="2"/>
  <c r="AO50" i="2"/>
  <c r="AP49" i="2"/>
  <c r="AO49" i="2"/>
  <c r="AP48" i="2"/>
  <c r="AO48" i="2"/>
  <c r="AP47" i="2"/>
  <c r="AO47" i="2"/>
  <c r="AP46" i="2"/>
  <c r="AO46" i="2"/>
  <c r="AP45" i="2"/>
  <c r="AO45" i="2"/>
  <c r="AP44" i="2"/>
  <c r="AO44" i="2"/>
  <c r="AP43" i="2"/>
  <c r="AO43" i="2"/>
  <c r="AP42" i="2"/>
  <c r="AO42" i="2"/>
  <c r="AP41" i="2"/>
  <c r="AO41" i="2"/>
  <c r="AP40" i="2"/>
  <c r="AO40" i="2"/>
  <c r="AP39" i="2"/>
  <c r="AO39" i="2"/>
  <c r="AP38" i="2"/>
  <c r="AO38" i="2"/>
  <c r="AP37" i="2"/>
  <c r="AO37" i="2"/>
  <c r="AP36" i="2"/>
  <c r="AO36" i="2"/>
  <c r="AP35" i="2"/>
  <c r="AO35" i="2"/>
  <c r="AP34" i="2"/>
  <c r="AO34" i="2"/>
  <c r="AP33" i="2"/>
  <c r="AO33" i="2"/>
  <c r="AP32" i="2"/>
  <c r="AO32" i="2"/>
  <c r="AP31" i="2"/>
  <c r="AO31" i="2"/>
  <c r="AP30" i="2"/>
  <c r="AO30" i="2"/>
  <c r="AP29" i="2"/>
  <c r="AO29" i="2"/>
  <c r="AP28" i="2"/>
  <c r="AO28" i="2"/>
  <c r="AP27" i="2"/>
  <c r="AO27" i="2"/>
  <c r="AP26" i="2"/>
  <c r="AO26" i="2"/>
  <c r="AP25" i="2"/>
  <c r="AO25" i="2"/>
  <c r="AP24" i="2"/>
  <c r="AO24" i="2"/>
  <c r="AP23" i="2"/>
  <c r="AO23" i="2"/>
  <c r="AP22" i="2"/>
  <c r="AO22" i="2"/>
  <c r="AP21" i="2"/>
  <c r="AO21" i="2"/>
  <c r="AP20" i="2"/>
  <c r="AO20" i="2"/>
  <c r="AP19" i="2"/>
  <c r="AO19" i="2"/>
  <c r="AP18" i="2"/>
  <c r="AO18" i="2"/>
  <c r="AP17" i="2"/>
  <c r="AO17" i="2"/>
  <c r="AP16" i="2"/>
  <c r="AO16" i="2"/>
  <c r="AP15" i="2"/>
  <c r="AO15" i="2"/>
  <c r="AP14" i="2"/>
  <c r="AO14" i="2"/>
  <c r="AP13" i="2"/>
  <c r="AO13" i="2"/>
  <c r="AP12" i="2"/>
  <c r="AO12" i="2"/>
  <c r="AP11" i="2"/>
  <c r="AO11" i="2"/>
  <c r="AP10" i="2"/>
  <c r="AO10" i="2"/>
  <c r="AP9" i="2"/>
  <c r="AO9" i="2"/>
  <c r="AQ173" i="2" l="1"/>
  <c r="AR173" i="2" s="1"/>
  <c r="AQ233" i="2"/>
  <c r="AR233" i="2" s="1"/>
  <c r="AQ172" i="2"/>
  <c r="AR172" i="2" s="1"/>
  <c r="AQ236" i="2"/>
  <c r="AR236" i="2" s="1"/>
  <c r="AQ284" i="2"/>
  <c r="AR284" i="2" s="1"/>
  <c r="AQ292" i="2"/>
  <c r="AR292" i="2" s="1"/>
  <c r="AQ300" i="2"/>
  <c r="AR300" i="2" s="1"/>
  <c r="AQ304" i="2"/>
  <c r="AR304" i="2" s="1"/>
  <c r="AQ308" i="2"/>
  <c r="AR308" i="2" s="1"/>
  <c r="AQ316" i="2"/>
  <c r="AR316" i="2" s="1"/>
  <c r="AQ163" i="2"/>
  <c r="AR163" i="2" s="1"/>
  <c r="AQ324" i="2"/>
  <c r="AR324" i="2" s="1"/>
  <c r="AQ410" i="2"/>
  <c r="AR410" i="2" s="1"/>
  <c r="AQ15" i="2"/>
  <c r="AR15" i="2" s="1"/>
  <c r="AQ131" i="2"/>
  <c r="AR131" i="2" s="1"/>
  <c r="AQ139" i="2"/>
  <c r="AR139" i="2" s="1"/>
  <c r="AQ147" i="2"/>
  <c r="AR147" i="2" s="1"/>
  <c r="AQ249" i="2"/>
  <c r="AR249" i="2" s="1"/>
  <c r="AQ253" i="2"/>
  <c r="AR253" i="2" s="1"/>
  <c r="AQ257" i="2"/>
  <c r="AR257" i="2" s="1"/>
  <c r="AQ265" i="2"/>
  <c r="AR265" i="2" s="1"/>
  <c r="AQ281" i="2"/>
  <c r="AR281" i="2" s="1"/>
  <c r="AQ118" i="2"/>
  <c r="AR118" i="2" s="1"/>
  <c r="AQ120" i="2"/>
  <c r="AR120" i="2" s="1"/>
  <c r="AQ124" i="2"/>
  <c r="AR124" i="2" s="1"/>
  <c r="AQ319" i="2"/>
  <c r="AR319" i="2" s="1"/>
  <c r="AQ241" i="2"/>
  <c r="AR241" i="2" s="1"/>
  <c r="AQ181" i="2"/>
  <c r="AR181" i="2" s="1"/>
  <c r="AQ185" i="2"/>
  <c r="AR185" i="2" s="1"/>
  <c r="AQ189" i="2"/>
  <c r="AR189" i="2" s="1"/>
  <c r="AQ201" i="2"/>
  <c r="AR201" i="2" s="1"/>
  <c r="AQ213" i="2"/>
  <c r="AR213" i="2" s="1"/>
  <c r="AQ217" i="2"/>
  <c r="AR217" i="2" s="1"/>
  <c r="AQ221" i="2"/>
  <c r="AR221" i="2" s="1"/>
  <c r="AQ225" i="2"/>
  <c r="AR225" i="2" s="1"/>
  <c r="AQ332" i="2"/>
  <c r="AR332" i="2" s="1"/>
  <c r="AQ336" i="2"/>
  <c r="AR336" i="2" s="1"/>
  <c r="AQ340" i="2"/>
  <c r="AR340" i="2" s="1"/>
  <c r="AQ348" i="2"/>
  <c r="AR348" i="2" s="1"/>
  <c r="AQ362" i="2"/>
  <c r="AR362" i="2" s="1"/>
  <c r="AQ378" i="2"/>
  <c r="AR378" i="2" s="1"/>
  <c r="AQ386" i="2"/>
  <c r="AR386" i="2" s="1"/>
  <c r="AQ10" i="2"/>
  <c r="AR10" i="2" s="1"/>
  <c r="AQ17" i="2"/>
  <c r="AR17" i="2" s="1"/>
  <c r="AQ31" i="2"/>
  <c r="AR31" i="2" s="1"/>
  <c r="AQ33" i="2"/>
  <c r="AR33" i="2" s="1"/>
  <c r="AQ35" i="2"/>
  <c r="AR35" i="2" s="1"/>
  <c r="AQ37" i="2"/>
  <c r="AR37" i="2" s="1"/>
  <c r="AQ39" i="2"/>
  <c r="AR39" i="2" s="1"/>
  <c r="AQ41" i="2"/>
  <c r="AR41" i="2" s="1"/>
  <c r="AQ43" i="2"/>
  <c r="AR43" i="2" s="1"/>
  <c r="AQ45" i="2"/>
  <c r="AR45" i="2" s="1"/>
  <c r="AQ47" i="2"/>
  <c r="AR47" i="2" s="1"/>
  <c r="AQ49" i="2"/>
  <c r="AR49" i="2" s="1"/>
  <c r="AQ51" i="2"/>
  <c r="AR51" i="2" s="1"/>
  <c r="AQ53" i="2"/>
  <c r="AR53" i="2" s="1"/>
  <c r="AQ55" i="2"/>
  <c r="AR55" i="2" s="1"/>
  <c r="AQ57" i="2"/>
  <c r="AR57" i="2" s="1"/>
  <c r="AQ59" i="2"/>
  <c r="AR59" i="2" s="1"/>
  <c r="AQ61" i="2"/>
  <c r="AR61" i="2" s="1"/>
  <c r="AQ63" i="2"/>
  <c r="AR63" i="2" s="1"/>
  <c r="AQ65" i="2"/>
  <c r="AR65" i="2" s="1"/>
  <c r="AQ67" i="2"/>
  <c r="AR67" i="2" s="1"/>
  <c r="AQ69" i="2"/>
  <c r="AR69" i="2" s="1"/>
  <c r="AQ71" i="2"/>
  <c r="AR71" i="2" s="1"/>
  <c r="AQ73" i="2"/>
  <c r="AR73" i="2" s="1"/>
  <c r="AQ75" i="2"/>
  <c r="AR75" i="2" s="1"/>
  <c r="AQ77" i="2"/>
  <c r="AR77" i="2" s="1"/>
  <c r="AQ79" i="2"/>
  <c r="AR79" i="2" s="1"/>
  <c r="AQ81" i="2"/>
  <c r="AR81" i="2" s="1"/>
  <c r="AQ83" i="2"/>
  <c r="AR83" i="2" s="1"/>
  <c r="AQ85" i="2"/>
  <c r="AR85" i="2" s="1"/>
  <c r="AQ87" i="2"/>
  <c r="AR87" i="2" s="1"/>
  <c r="AQ89" i="2"/>
  <c r="AR89" i="2" s="1"/>
  <c r="AQ91" i="2"/>
  <c r="AR91" i="2" s="1"/>
  <c r="AQ93" i="2"/>
  <c r="AR93" i="2" s="1"/>
  <c r="AQ95" i="2"/>
  <c r="AR95" i="2" s="1"/>
  <c r="AQ97" i="2"/>
  <c r="AR97" i="2" s="1"/>
  <c r="AQ99" i="2"/>
  <c r="AR99" i="2" s="1"/>
  <c r="AQ107" i="2"/>
  <c r="AR107" i="2" s="1"/>
  <c r="AQ176" i="2"/>
  <c r="AR176" i="2" s="1"/>
  <c r="AQ184" i="2"/>
  <c r="AR184" i="2" s="1"/>
  <c r="AQ192" i="2"/>
  <c r="AR192" i="2" s="1"/>
  <c r="AQ200" i="2"/>
  <c r="AR200" i="2" s="1"/>
  <c r="AQ248" i="2"/>
  <c r="AR248" i="2" s="1"/>
  <c r="AQ256" i="2"/>
  <c r="AR256" i="2" s="1"/>
  <c r="AQ283" i="2"/>
  <c r="AR283" i="2" s="1"/>
  <c r="AQ287" i="2"/>
  <c r="AR287" i="2" s="1"/>
  <c r="AQ331" i="2"/>
  <c r="AR331" i="2" s="1"/>
  <c r="AQ339" i="2"/>
  <c r="AR339" i="2" s="1"/>
  <c r="AQ347" i="2"/>
  <c r="AR347" i="2" s="1"/>
  <c r="AQ353" i="2"/>
  <c r="AR353" i="2" s="1"/>
  <c r="AQ136" i="2"/>
  <c r="AR136" i="2" s="1"/>
  <c r="AQ152" i="2"/>
  <c r="AR152" i="2" s="1"/>
  <c r="AQ197" i="2"/>
  <c r="AR197" i="2" s="1"/>
  <c r="AQ216" i="2"/>
  <c r="AR216" i="2" s="1"/>
  <c r="AQ224" i="2"/>
  <c r="AR224" i="2" s="1"/>
  <c r="AQ232" i="2"/>
  <c r="AR232" i="2" s="1"/>
  <c r="AQ299" i="2"/>
  <c r="AR299" i="2" s="1"/>
  <c r="AQ307" i="2"/>
  <c r="AR307" i="2" s="1"/>
  <c r="AQ377" i="2"/>
  <c r="AR377" i="2" s="1"/>
  <c r="AQ267" i="2"/>
  <c r="AR267" i="2" s="1"/>
  <c r="AQ394" i="2"/>
  <c r="AR394" i="2" s="1"/>
  <c r="AQ9" i="2"/>
  <c r="AR9" i="2" s="1"/>
  <c r="AQ11" i="2"/>
  <c r="AR11" i="2" s="1"/>
  <c r="AQ13" i="2"/>
  <c r="AR13" i="2" s="1"/>
  <c r="AQ16" i="2"/>
  <c r="AR16" i="2" s="1"/>
  <c r="AQ20" i="2"/>
  <c r="AR20" i="2" s="1"/>
  <c r="AQ108" i="2"/>
  <c r="AR108" i="2" s="1"/>
  <c r="AQ112" i="2"/>
  <c r="AR112" i="2" s="1"/>
  <c r="AQ128" i="2"/>
  <c r="AR128" i="2" s="1"/>
  <c r="AQ155" i="2"/>
  <c r="AR155" i="2" s="1"/>
  <c r="AQ168" i="2"/>
  <c r="AR168" i="2" s="1"/>
  <c r="AQ180" i="2"/>
  <c r="AR180" i="2" s="1"/>
  <c r="AQ193" i="2"/>
  <c r="AR193" i="2" s="1"/>
  <c r="AQ208" i="2"/>
  <c r="AR208" i="2" s="1"/>
  <c r="AQ229" i="2"/>
  <c r="AR229" i="2" s="1"/>
  <c r="AQ240" i="2"/>
  <c r="AR240" i="2" s="1"/>
  <c r="AQ244" i="2"/>
  <c r="AR244" i="2" s="1"/>
  <c r="AQ261" i="2"/>
  <c r="AR261" i="2" s="1"/>
  <c r="AQ291" i="2"/>
  <c r="AR291" i="2" s="1"/>
  <c r="AQ295" i="2"/>
  <c r="AR295" i="2" s="1"/>
  <c r="AQ312" i="2"/>
  <c r="AR312" i="2" s="1"/>
  <c r="AQ323" i="2"/>
  <c r="AR323" i="2" s="1"/>
  <c r="AQ327" i="2"/>
  <c r="AR327" i="2" s="1"/>
  <c r="AQ344" i="2"/>
  <c r="AR344" i="2" s="1"/>
  <c r="AQ361" i="2"/>
  <c r="AR361" i="2" s="1"/>
  <c r="AQ369" i="2"/>
  <c r="AR369" i="2" s="1"/>
  <c r="AQ402" i="2"/>
  <c r="AR402" i="2" s="1"/>
  <c r="AQ417" i="2"/>
  <c r="AR417" i="2" s="1"/>
  <c r="AQ144" i="2"/>
  <c r="AR144" i="2" s="1"/>
  <c r="AQ169" i="2"/>
  <c r="AR169" i="2" s="1"/>
  <c r="AQ188" i="2"/>
  <c r="AR188" i="2" s="1"/>
  <c r="AQ205" i="2"/>
  <c r="AR205" i="2" s="1"/>
  <c r="AQ209" i="2"/>
  <c r="AR209" i="2" s="1"/>
  <c r="AQ237" i="2"/>
  <c r="AR237" i="2" s="1"/>
  <c r="AQ252" i="2"/>
  <c r="AR252" i="2" s="1"/>
  <c r="AQ271" i="2"/>
  <c r="AR271" i="2" s="1"/>
  <c r="AQ273" i="2"/>
  <c r="AR273" i="2" s="1"/>
  <c r="AQ275" i="2"/>
  <c r="AR275" i="2" s="1"/>
  <c r="AQ279" i="2"/>
  <c r="AR279" i="2" s="1"/>
  <c r="AQ288" i="2"/>
  <c r="AR288" i="2" s="1"/>
  <c r="AQ303" i="2"/>
  <c r="AR303" i="2" s="1"/>
  <c r="AQ320" i="2"/>
  <c r="AR320" i="2" s="1"/>
  <c r="AQ335" i="2"/>
  <c r="AR335" i="2" s="1"/>
  <c r="AQ354" i="2"/>
  <c r="AR354" i="2" s="1"/>
  <c r="AQ385" i="2"/>
  <c r="AR385" i="2" s="1"/>
  <c r="AQ393" i="2"/>
  <c r="AR393" i="2" s="1"/>
  <c r="AQ418" i="2"/>
  <c r="AR418" i="2" s="1"/>
  <c r="AQ160" i="2"/>
  <c r="AR160" i="2" s="1"/>
  <c r="AQ177" i="2"/>
  <c r="AR177" i="2" s="1"/>
  <c r="AQ228" i="2"/>
  <c r="AR228" i="2" s="1"/>
  <c r="AQ245" i="2"/>
  <c r="AR245" i="2" s="1"/>
  <c r="AQ260" i="2"/>
  <c r="AR260" i="2" s="1"/>
  <c r="AQ296" i="2"/>
  <c r="AR296" i="2" s="1"/>
  <c r="AQ311" i="2"/>
  <c r="AR311" i="2" s="1"/>
  <c r="AQ328" i="2"/>
  <c r="AR328" i="2" s="1"/>
  <c r="AQ343" i="2"/>
  <c r="AR343" i="2" s="1"/>
  <c r="AQ370" i="2"/>
  <c r="AR370" i="2" s="1"/>
  <c r="AQ401" i="2"/>
  <c r="AR401" i="2" s="1"/>
  <c r="AQ12" i="2"/>
  <c r="AR12" i="2" s="1"/>
  <c r="AQ100" i="2"/>
  <c r="AR100" i="2" s="1"/>
  <c r="AQ102" i="2"/>
  <c r="AR102" i="2" s="1"/>
  <c r="AQ104" i="2"/>
  <c r="AR104" i="2" s="1"/>
  <c r="AQ115" i="2"/>
  <c r="AR115" i="2" s="1"/>
  <c r="AQ119" i="2"/>
  <c r="AR119" i="2" s="1"/>
  <c r="AQ123" i="2"/>
  <c r="AR123" i="2" s="1"/>
  <c r="AQ125" i="2"/>
  <c r="AR125" i="2" s="1"/>
  <c r="AQ132" i="2"/>
  <c r="AR132" i="2" s="1"/>
  <c r="AQ141" i="2"/>
  <c r="AR141" i="2" s="1"/>
  <c r="AQ143" i="2"/>
  <c r="AR143" i="2" s="1"/>
  <c r="AQ148" i="2"/>
  <c r="AR148" i="2" s="1"/>
  <c r="AQ157" i="2"/>
  <c r="AR157" i="2" s="1"/>
  <c r="AQ159" i="2"/>
  <c r="AR159" i="2" s="1"/>
  <c r="AQ164" i="2"/>
  <c r="AR164" i="2" s="1"/>
  <c r="AQ171" i="2"/>
  <c r="AR171" i="2" s="1"/>
  <c r="AQ174" i="2"/>
  <c r="AR174" i="2" s="1"/>
  <c r="AQ179" i="2"/>
  <c r="AR179" i="2" s="1"/>
  <c r="AQ182" i="2"/>
  <c r="AR182" i="2" s="1"/>
  <c r="AQ187" i="2"/>
  <c r="AR187" i="2" s="1"/>
  <c r="AQ190" i="2"/>
  <c r="AR190" i="2" s="1"/>
  <c r="AQ195" i="2"/>
  <c r="AR195" i="2" s="1"/>
  <c r="AQ204" i="2"/>
  <c r="AR204" i="2" s="1"/>
  <c r="AQ220" i="2"/>
  <c r="AR220" i="2" s="1"/>
  <c r="AQ19" i="2"/>
  <c r="AR19" i="2" s="1"/>
  <c r="AQ21" i="2"/>
  <c r="AR21" i="2" s="1"/>
  <c r="AQ101" i="2"/>
  <c r="AR101" i="2" s="1"/>
  <c r="AQ109" i="2"/>
  <c r="AR109" i="2" s="1"/>
  <c r="AQ133" i="2"/>
  <c r="AR133" i="2" s="1"/>
  <c r="AQ135" i="2"/>
  <c r="AR135" i="2" s="1"/>
  <c r="AQ140" i="2"/>
  <c r="AR140" i="2" s="1"/>
  <c r="AQ149" i="2"/>
  <c r="AR149" i="2" s="1"/>
  <c r="AQ151" i="2"/>
  <c r="AR151" i="2" s="1"/>
  <c r="AQ156" i="2"/>
  <c r="AR156" i="2" s="1"/>
  <c r="AQ165" i="2"/>
  <c r="AR165" i="2" s="1"/>
  <c r="AQ167" i="2"/>
  <c r="AR167" i="2" s="1"/>
  <c r="AQ170" i="2"/>
  <c r="AR170" i="2" s="1"/>
  <c r="AQ175" i="2"/>
  <c r="AR175" i="2" s="1"/>
  <c r="AQ178" i="2"/>
  <c r="AR178" i="2" s="1"/>
  <c r="AQ183" i="2"/>
  <c r="AR183" i="2" s="1"/>
  <c r="AQ186" i="2"/>
  <c r="AR186" i="2" s="1"/>
  <c r="AQ191" i="2"/>
  <c r="AR191" i="2" s="1"/>
  <c r="AQ194" i="2"/>
  <c r="AR194" i="2" s="1"/>
  <c r="AQ196" i="2"/>
  <c r="AR196" i="2" s="1"/>
  <c r="AQ212" i="2"/>
  <c r="AR212" i="2" s="1"/>
  <c r="AQ264" i="2"/>
  <c r="AR264" i="2" s="1"/>
  <c r="AQ315" i="2"/>
  <c r="AR315" i="2" s="1"/>
  <c r="AQ409" i="2"/>
  <c r="AR409" i="2" s="1"/>
  <c r="AQ198" i="2"/>
  <c r="AR198" i="2" s="1"/>
  <c r="AQ203" i="2"/>
  <c r="AR203" i="2" s="1"/>
  <c r="AQ206" i="2"/>
  <c r="AR206" i="2" s="1"/>
  <c r="AQ211" i="2"/>
  <c r="AR211" i="2" s="1"/>
  <c r="AQ214" i="2"/>
  <c r="AR214" i="2" s="1"/>
  <c r="AQ219" i="2"/>
  <c r="AR219" i="2" s="1"/>
  <c r="AQ222" i="2"/>
  <c r="AR222" i="2" s="1"/>
  <c r="AQ227" i="2"/>
  <c r="AR227" i="2" s="1"/>
  <c r="AQ230" i="2"/>
  <c r="AR230" i="2" s="1"/>
  <c r="AQ235" i="2"/>
  <c r="AR235" i="2" s="1"/>
  <c r="AQ238" i="2"/>
  <c r="AR238" i="2" s="1"/>
  <c r="AQ243" i="2"/>
  <c r="AR243" i="2" s="1"/>
  <c r="AQ246" i="2"/>
  <c r="AR246" i="2" s="1"/>
  <c r="AQ251" i="2"/>
  <c r="AR251" i="2" s="1"/>
  <c r="AQ254" i="2"/>
  <c r="AR254" i="2" s="1"/>
  <c r="AQ259" i="2"/>
  <c r="AR259" i="2" s="1"/>
  <c r="AQ262" i="2"/>
  <c r="AR262" i="2" s="1"/>
  <c r="AQ268" i="2"/>
  <c r="AR268" i="2" s="1"/>
  <c r="AQ270" i="2"/>
  <c r="AR270" i="2" s="1"/>
  <c r="AQ272" i="2"/>
  <c r="AR272" i="2" s="1"/>
  <c r="AQ286" i="2"/>
  <c r="AR286" i="2" s="1"/>
  <c r="AQ289" i="2"/>
  <c r="AR289" i="2" s="1"/>
  <c r="AQ294" i="2"/>
  <c r="AR294" i="2" s="1"/>
  <c r="AQ297" i="2"/>
  <c r="AR297" i="2" s="1"/>
  <c r="AQ302" i="2"/>
  <c r="AR302" i="2" s="1"/>
  <c r="AQ305" i="2"/>
  <c r="AR305" i="2" s="1"/>
  <c r="AQ310" i="2"/>
  <c r="AR310" i="2" s="1"/>
  <c r="AQ313" i="2"/>
  <c r="AR313" i="2" s="1"/>
  <c r="AQ318" i="2"/>
  <c r="AR318" i="2" s="1"/>
  <c r="AQ321" i="2"/>
  <c r="AR321" i="2" s="1"/>
  <c r="AQ326" i="2"/>
  <c r="AR326" i="2" s="1"/>
  <c r="AQ329" i="2"/>
  <c r="AR329" i="2" s="1"/>
  <c r="AQ334" i="2"/>
  <c r="AR334" i="2" s="1"/>
  <c r="AQ337" i="2"/>
  <c r="AR337" i="2" s="1"/>
  <c r="AQ342" i="2"/>
  <c r="AR342" i="2" s="1"/>
  <c r="AQ345" i="2"/>
  <c r="AR345" i="2" s="1"/>
  <c r="AQ350" i="2"/>
  <c r="AR350" i="2" s="1"/>
  <c r="AQ352" i="2"/>
  <c r="AR352" i="2" s="1"/>
  <c r="AQ355" i="2"/>
  <c r="AR355" i="2" s="1"/>
  <c r="AQ357" i="2"/>
  <c r="AR357" i="2" s="1"/>
  <c r="AQ366" i="2"/>
  <c r="AR366" i="2" s="1"/>
  <c r="AQ368" i="2"/>
  <c r="AR368" i="2" s="1"/>
  <c r="AQ371" i="2"/>
  <c r="AR371" i="2" s="1"/>
  <c r="AQ373" i="2"/>
  <c r="AR373" i="2" s="1"/>
  <c r="AQ382" i="2"/>
  <c r="AR382" i="2" s="1"/>
  <c r="AQ384" i="2"/>
  <c r="AR384" i="2" s="1"/>
  <c r="AQ387" i="2"/>
  <c r="AR387" i="2" s="1"/>
  <c r="AQ389" i="2"/>
  <c r="AR389" i="2" s="1"/>
  <c r="AQ398" i="2"/>
  <c r="AR398" i="2" s="1"/>
  <c r="AQ400" i="2"/>
  <c r="AR400" i="2" s="1"/>
  <c r="AQ403" i="2"/>
  <c r="AR403" i="2" s="1"/>
  <c r="AQ405" i="2"/>
  <c r="AR405" i="2" s="1"/>
  <c r="AQ414" i="2"/>
  <c r="AR414" i="2" s="1"/>
  <c r="AQ416" i="2"/>
  <c r="AR416" i="2" s="1"/>
  <c r="AQ419" i="2"/>
  <c r="AR419" i="2" s="1"/>
  <c r="AQ421" i="2"/>
  <c r="AR421" i="2" s="1"/>
  <c r="AQ423" i="2"/>
  <c r="AR423" i="2" s="1"/>
  <c r="AQ425" i="2"/>
  <c r="AR425" i="2" s="1"/>
  <c r="AQ427" i="2"/>
  <c r="AR427" i="2" s="1"/>
  <c r="AQ429" i="2"/>
  <c r="AR429" i="2" s="1"/>
  <c r="AQ431" i="2"/>
  <c r="AR431" i="2" s="1"/>
  <c r="AQ433" i="2"/>
  <c r="AR433" i="2" s="1"/>
  <c r="AQ199" i="2"/>
  <c r="AR199" i="2" s="1"/>
  <c r="AQ202" i="2"/>
  <c r="AR202" i="2" s="1"/>
  <c r="AQ207" i="2"/>
  <c r="AR207" i="2" s="1"/>
  <c r="AQ210" i="2"/>
  <c r="AR210" i="2" s="1"/>
  <c r="AQ215" i="2"/>
  <c r="AR215" i="2" s="1"/>
  <c r="AQ218" i="2"/>
  <c r="AR218" i="2" s="1"/>
  <c r="AQ223" i="2"/>
  <c r="AR223" i="2" s="1"/>
  <c r="AQ226" i="2"/>
  <c r="AR226" i="2" s="1"/>
  <c r="AQ231" i="2"/>
  <c r="AR231" i="2" s="1"/>
  <c r="AQ234" i="2"/>
  <c r="AR234" i="2" s="1"/>
  <c r="AQ239" i="2"/>
  <c r="AR239" i="2" s="1"/>
  <c r="AQ242" i="2"/>
  <c r="AR242" i="2" s="1"/>
  <c r="AQ247" i="2"/>
  <c r="AR247" i="2" s="1"/>
  <c r="AQ250" i="2"/>
  <c r="AR250" i="2" s="1"/>
  <c r="AQ255" i="2"/>
  <c r="AR255" i="2" s="1"/>
  <c r="AQ258" i="2"/>
  <c r="AR258" i="2" s="1"/>
  <c r="AQ263" i="2"/>
  <c r="AR263" i="2" s="1"/>
  <c r="AQ276" i="2"/>
  <c r="AR276" i="2" s="1"/>
  <c r="AQ278" i="2"/>
  <c r="AR278" i="2" s="1"/>
  <c r="AQ280" i="2"/>
  <c r="AR280" i="2" s="1"/>
  <c r="AQ285" i="2"/>
  <c r="AR285" i="2" s="1"/>
  <c r="AQ290" i="2"/>
  <c r="AR290" i="2" s="1"/>
  <c r="AQ293" i="2"/>
  <c r="AR293" i="2" s="1"/>
  <c r="AQ298" i="2"/>
  <c r="AR298" i="2" s="1"/>
  <c r="AQ301" i="2"/>
  <c r="AR301" i="2" s="1"/>
  <c r="AQ306" i="2"/>
  <c r="AR306" i="2" s="1"/>
  <c r="AQ309" i="2"/>
  <c r="AR309" i="2" s="1"/>
  <c r="AQ314" i="2"/>
  <c r="AR314" i="2" s="1"/>
  <c r="AQ317" i="2"/>
  <c r="AR317" i="2" s="1"/>
  <c r="AQ322" i="2"/>
  <c r="AR322" i="2" s="1"/>
  <c r="AQ325" i="2"/>
  <c r="AR325" i="2" s="1"/>
  <c r="AQ330" i="2"/>
  <c r="AR330" i="2" s="1"/>
  <c r="AQ333" i="2"/>
  <c r="AR333" i="2" s="1"/>
  <c r="AQ338" i="2"/>
  <c r="AR338" i="2" s="1"/>
  <c r="AQ341" i="2"/>
  <c r="AR341" i="2" s="1"/>
  <c r="AQ346" i="2"/>
  <c r="AR346" i="2" s="1"/>
  <c r="AQ349" i="2"/>
  <c r="AR349" i="2" s="1"/>
  <c r="AQ358" i="2"/>
  <c r="AR358" i="2" s="1"/>
  <c r="AQ360" i="2"/>
  <c r="AR360" i="2" s="1"/>
  <c r="AQ363" i="2"/>
  <c r="AR363" i="2" s="1"/>
  <c r="AQ365" i="2"/>
  <c r="AR365" i="2" s="1"/>
  <c r="AQ374" i="2"/>
  <c r="AR374" i="2" s="1"/>
  <c r="AQ376" i="2"/>
  <c r="AR376" i="2" s="1"/>
  <c r="AQ379" i="2"/>
  <c r="AR379" i="2" s="1"/>
  <c r="AQ381" i="2"/>
  <c r="AR381" i="2" s="1"/>
  <c r="AQ390" i="2"/>
  <c r="AR390" i="2" s="1"/>
  <c r="AQ392" i="2"/>
  <c r="AR392" i="2" s="1"/>
  <c r="AQ395" i="2"/>
  <c r="AR395" i="2" s="1"/>
  <c r="AQ397" i="2"/>
  <c r="AR397" i="2" s="1"/>
  <c r="AQ406" i="2"/>
  <c r="AR406" i="2" s="1"/>
  <c r="AQ408" i="2"/>
  <c r="AR408" i="2" s="1"/>
  <c r="AQ411" i="2"/>
  <c r="AR411" i="2" s="1"/>
  <c r="AQ413" i="2"/>
  <c r="AR413" i="2" s="1"/>
  <c r="AQ18" i="2"/>
  <c r="AR18" i="2" s="1"/>
  <c r="AQ23" i="2"/>
  <c r="AR23" i="2" s="1"/>
  <c r="AQ25" i="2"/>
  <c r="AR25" i="2" s="1"/>
  <c r="AQ27" i="2"/>
  <c r="AR27" i="2" s="1"/>
  <c r="AQ29" i="2"/>
  <c r="AR29" i="2" s="1"/>
  <c r="AQ103" i="2"/>
  <c r="AR103" i="2" s="1"/>
  <c r="AQ105" i="2"/>
  <c r="AR105" i="2" s="1"/>
  <c r="AQ114" i="2"/>
  <c r="AR114" i="2" s="1"/>
  <c r="AQ116" i="2"/>
  <c r="AR116" i="2" s="1"/>
  <c r="AQ138" i="2"/>
  <c r="AR138" i="2" s="1"/>
  <c r="AQ154" i="2"/>
  <c r="AR154" i="2" s="1"/>
  <c r="AQ269" i="2"/>
  <c r="AR269" i="2" s="1"/>
  <c r="AQ14" i="2"/>
  <c r="AR14" i="2" s="1"/>
  <c r="AQ22" i="2"/>
  <c r="AR22" i="2" s="1"/>
  <c r="AQ24" i="2"/>
  <c r="AR24" i="2" s="1"/>
  <c r="AQ26" i="2"/>
  <c r="AR26" i="2" s="1"/>
  <c r="AQ28" i="2"/>
  <c r="AR28" i="2" s="1"/>
  <c r="AQ30" i="2"/>
  <c r="AR30" i="2" s="1"/>
  <c r="AQ32" i="2"/>
  <c r="AR32" i="2" s="1"/>
  <c r="AQ34" i="2"/>
  <c r="AR34" i="2" s="1"/>
  <c r="AQ36" i="2"/>
  <c r="AR36" i="2" s="1"/>
  <c r="AQ38" i="2"/>
  <c r="AR38" i="2" s="1"/>
  <c r="AQ40" i="2"/>
  <c r="AR40" i="2" s="1"/>
  <c r="AQ42" i="2"/>
  <c r="AR42" i="2" s="1"/>
  <c r="AQ44" i="2"/>
  <c r="AR44" i="2" s="1"/>
  <c r="AQ46" i="2"/>
  <c r="AR46" i="2" s="1"/>
  <c r="AQ48" i="2"/>
  <c r="AR48" i="2" s="1"/>
  <c r="AQ50" i="2"/>
  <c r="AR50" i="2" s="1"/>
  <c r="AQ52" i="2"/>
  <c r="AR52" i="2" s="1"/>
  <c r="AQ54" i="2"/>
  <c r="AR54" i="2" s="1"/>
  <c r="AQ56" i="2"/>
  <c r="AR56" i="2" s="1"/>
  <c r="AQ58" i="2"/>
  <c r="AR58" i="2" s="1"/>
  <c r="AQ60" i="2"/>
  <c r="AR60" i="2" s="1"/>
  <c r="AQ62" i="2"/>
  <c r="AR62" i="2" s="1"/>
  <c r="AQ64" i="2"/>
  <c r="AR64" i="2" s="1"/>
  <c r="AQ66" i="2"/>
  <c r="AR66" i="2" s="1"/>
  <c r="AQ68" i="2"/>
  <c r="AR68" i="2" s="1"/>
  <c r="AQ70" i="2"/>
  <c r="AR70" i="2" s="1"/>
  <c r="AQ72" i="2"/>
  <c r="AR72" i="2" s="1"/>
  <c r="AQ74" i="2"/>
  <c r="AR74" i="2" s="1"/>
  <c r="AQ76" i="2"/>
  <c r="AR76" i="2" s="1"/>
  <c r="AQ78" i="2"/>
  <c r="AR78" i="2" s="1"/>
  <c r="AQ80" i="2"/>
  <c r="AR80" i="2" s="1"/>
  <c r="AQ82" i="2"/>
  <c r="AR82" i="2" s="1"/>
  <c r="AQ84" i="2"/>
  <c r="AR84" i="2" s="1"/>
  <c r="AQ86" i="2"/>
  <c r="AR86" i="2" s="1"/>
  <c r="AQ88" i="2"/>
  <c r="AR88" i="2" s="1"/>
  <c r="AQ90" i="2"/>
  <c r="AR90" i="2" s="1"/>
  <c r="AQ92" i="2"/>
  <c r="AR92" i="2" s="1"/>
  <c r="AQ94" i="2"/>
  <c r="AR94" i="2" s="1"/>
  <c r="AQ96" i="2"/>
  <c r="AR96" i="2" s="1"/>
  <c r="AQ98" i="2"/>
  <c r="AR98" i="2" s="1"/>
  <c r="AQ121" i="2"/>
  <c r="AR121" i="2" s="1"/>
  <c r="AQ130" i="2"/>
  <c r="AR130" i="2" s="1"/>
  <c r="AQ146" i="2"/>
  <c r="AR146" i="2" s="1"/>
  <c r="AQ162" i="2"/>
  <c r="AR162" i="2" s="1"/>
  <c r="AQ277" i="2"/>
  <c r="AR277" i="2" s="1"/>
  <c r="AQ106" i="2"/>
  <c r="AR106" i="2" s="1"/>
  <c r="AQ111" i="2"/>
  <c r="AR111" i="2" s="1"/>
  <c r="AQ113" i="2"/>
  <c r="AR113" i="2" s="1"/>
  <c r="AQ122" i="2"/>
  <c r="AR122" i="2" s="1"/>
  <c r="AQ127" i="2"/>
  <c r="AR127" i="2" s="1"/>
  <c r="AQ129" i="2"/>
  <c r="AR129" i="2" s="1"/>
  <c r="AQ134" i="2"/>
  <c r="AR134" i="2" s="1"/>
  <c r="AQ137" i="2"/>
  <c r="AR137" i="2" s="1"/>
  <c r="AQ142" i="2"/>
  <c r="AR142" i="2" s="1"/>
  <c r="AQ145" i="2"/>
  <c r="AR145" i="2" s="1"/>
  <c r="AQ150" i="2"/>
  <c r="AR150" i="2" s="1"/>
  <c r="AQ153" i="2"/>
  <c r="AR153" i="2" s="1"/>
  <c r="AQ158" i="2"/>
  <c r="AR158" i="2" s="1"/>
  <c r="AQ161" i="2"/>
  <c r="AR161" i="2" s="1"/>
  <c r="AQ166" i="2"/>
  <c r="AR166" i="2" s="1"/>
  <c r="AQ266" i="2"/>
  <c r="AR266" i="2" s="1"/>
  <c r="AQ274" i="2"/>
  <c r="AR274" i="2" s="1"/>
  <c r="AQ282" i="2"/>
  <c r="AR282" i="2" s="1"/>
  <c r="AQ110" i="2"/>
  <c r="AR110" i="2" s="1"/>
  <c r="AQ117" i="2"/>
  <c r="AR117" i="2" s="1"/>
  <c r="AQ126" i="2"/>
  <c r="AR126" i="2" s="1"/>
  <c r="AQ351" i="2"/>
  <c r="AR351" i="2" s="1"/>
  <c r="AQ356" i="2"/>
  <c r="AR356" i="2" s="1"/>
  <c r="AQ359" i="2"/>
  <c r="AR359" i="2" s="1"/>
  <c r="AQ364" i="2"/>
  <c r="AR364" i="2" s="1"/>
  <c r="AQ367" i="2"/>
  <c r="AR367" i="2" s="1"/>
  <c r="AQ372" i="2"/>
  <c r="AR372" i="2" s="1"/>
  <c r="AQ375" i="2"/>
  <c r="AR375" i="2" s="1"/>
  <c r="AQ380" i="2"/>
  <c r="AR380" i="2" s="1"/>
  <c r="AQ383" i="2"/>
  <c r="AR383" i="2" s="1"/>
  <c r="AQ388" i="2"/>
  <c r="AR388" i="2" s="1"/>
  <c r="AQ391" i="2"/>
  <c r="AR391" i="2" s="1"/>
  <c r="AQ396" i="2"/>
  <c r="AR396" i="2" s="1"/>
  <c r="AQ399" i="2"/>
  <c r="AR399" i="2" s="1"/>
  <c r="AQ404" i="2"/>
  <c r="AR404" i="2" s="1"/>
  <c r="AQ407" i="2"/>
  <c r="AR407" i="2" s="1"/>
  <c r="AQ412" i="2"/>
  <c r="AR412" i="2" s="1"/>
  <c r="AQ415" i="2"/>
  <c r="AR415" i="2" s="1"/>
  <c r="AQ420" i="2"/>
  <c r="AR420" i="2" s="1"/>
  <c r="AQ422" i="2"/>
  <c r="AR422" i="2" s="1"/>
  <c r="AQ424" i="2"/>
  <c r="AR424" i="2" s="1"/>
  <c r="AQ426" i="2"/>
  <c r="AR426" i="2" s="1"/>
  <c r="AQ428" i="2"/>
  <c r="AR428" i="2" s="1"/>
  <c r="AQ430" i="2"/>
  <c r="AR430" i="2" s="1"/>
  <c r="AQ432" i="2"/>
  <c r="AR432" i="2" s="1"/>
  <c r="AQ434" i="2"/>
  <c r="AR434" i="2" s="1"/>
</calcChain>
</file>

<file path=xl/sharedStrings.xml><?xml version="1.0" encoding="utf-8"?>
<sst xmlns="http://schemas.openxmlformats.org/spreadsheetml/2006/main" count="1332" uniqueCount="468">
  <si>
    <t>Распределение планируемых объемов работы и расчет трудозатрат в часах</t>
  </si>
  <si>
    <t>№ п/п</t>
  </si>
  <si>
    <t>Преподаватель</t>
  </si>
  <si>
    <t>Должность</t>
  </si>
  <si>
    <t>Ставка</t>
  </si>
  <si>
    <t>Кафедра</t>
  </si>
  <si>
    <t>Норма часов</t>
  </si>
  <si>
    <t>1 половина дня</t>
  </si>
  <si>
    <t>2 половина дня</t>
  </si>
  <si>
    <t>утверждено</t>
  </si>
  <si>
    <t>часов, план</t>
  </si>
  <si>
    <t>часов, факт</t>
  </si>
  <si>
    <t>Всего</t>
  </si>
  <si>
    <t>1 пол. дня</t>
  </si>
  <si>
    <t>2 пол. дня</t>
  </si>
  <si>
    <t>1 Неконтактная</t>
  </si>
  <si>
    <t>2 Метод</t>
  </si>
  <si>
    <t>3 Электр.Обуч</t>
  </si>
  <si>
    <t>4 Научная</t>
  </si>
  <si>
    <t>5 Оргработа</t>
  </si>
  <si>
    <t>6 Повыш.квал</t>
  </si>
  <si>
    <t>7 Поруч.отв</t>
  </si>
  <si>
    <t>_на кафедре (0)</t>
  </si>
  <si>
    <t>Гамаюнов Евгений (126)</t>
  </si>
  <si>
    <t>Заведующий кафедрой</t>
  </si>
  <si>
    <t>Базовая кафедра СОФ</t>
  </si>
  <si>
    <t>Дышлюк Антон (10638)</t>
  </si>
  <si>
    <t>Доцент</t>
  </si>
  <si>
    <t>Попик Александр (11607)</t>
  </si>
  <si>
    <t>Ярусова Софья (6233)</t>
  </si>
  <si>
    <t>Базовая кафедра ЭЭПХТ</t>
  </si>
  <si>
    <t>Афонин Андрей (11991)</t>
  </si>
  <si>
    <t>Старший преподаватель</t>
  </si>
  <si>
    <t>ВШКТВ</t>
  </si>
  <si>
    <t>Булах Сергей (7759)</t>
  </si>
  <si>
    <t>Данилов Егор (12491)</t>
  </si>
  <si>
    <t>Ассистент</t>
  </si>
  <si>
    <t>Красюк Василий (8539)</t>
  </si>
  <si>
    <t>Мальцева Ольга (11467)</t>
  </si>
  <si>
    <t>Мальцева Ольга (1996)</t>
  </si>
  <si>
    <t>Мальцева Яна (3311)</t>
  </si>
  <si>
    <t>Меркурьев Вячеслав (11241)</t>
  </si>
  <si>
    <t>Мотовилов Дмитрий (5413)</t>
  </si>
  <si>
    <t>Новикова Наталья (14818)</t>
  </si>
  <si>
    <t>Павелкина Лариса (113)</t>
  </si>
  <si>
    <t>Сабанова Татьяна (10145)</t>
  </si>
  <si>
    <t>Телицына Татьяна (9231)</t>
  </si>
  <si>
    <t>Ушанов Павел (10206)</t>
  </si>
  <si>
    <t>Профессор</t>
  </si>
  <si>
    <t>Хакимова Влада (13579)</t>
  </si>
  <si>
    <t>Шварц Борис (10231)</t>
  </si>
  <si>
    <t>Держак Юлия (11854)</t>
  </si>
  <si>
    <t>Кафедра архитектуры</t>
  </si>
  <si>
    <t>Коржиков Дмитрий (14935)</t>
  </si>
  <si>
    <t>Петухов Владимир (13775)</t>
  </si>
  <si>
    <t>Секисова Ксения (11536)</t>
  </si>
  <si>
    <t>Терехов Алексей (14483)</t>
  </si>
  <si>
    <t>Шестопалов Кирилл (14505)</t>
  </si>
  <si>
    <t>Васянович Юрий (13611)</t>
  </si>
  <si>
    <t>Кафедра ГД</t>
  </si>
  <si>
    <t>Педан Никита (14040)</t>
  </si>
  <si>
    <t>Свинцов Никита (13992)</t>
  </si>
  <si>
    <t>Алексеенко Александр (5229)</t>
  </si>
  <si>
    <t>Кафедра ГПД</t>
  </si>
  <si>
    <t>Афонин Михаил (12184)</t>
  </si>
  <si>
    <t>Баранник Игорь (2612)</t>
  </si>
  <si>
    <t>Вронская Мария (10193)</t>
  </si>
  <si>
    <t>Дьячкова Екатерина (13863)</t>
  </si>
  <si>
    <t>Дядюн Кристина (13853)</t>
  </si>
  <si>
    <t>Золотовская Елена (7720)</t>
  </si>
  <si>
    <t>Кургузиков Максим (14266)</t>
  </si>
  <si>
    <t>Лазарев Сергей (14246)</t>
  </si>
  <si>
    <t>Литвинова Светлана (2945)</t>
  </si>
  <si>
    <t>Мирошниченко Ольга (11287)</t>
  </si>
  <si>
    <t>Морщинер Максим (109328)</t>
  </si>
  <si>
    <t>Ниязова Марина (3694)</t>
  </si>
  <si>
    <t>Перфильев Антон (14214)</t>
  </si>
  <si>
    <t>Пурге Анна (8027)</t>
  </si>
  <si>
    <t>Секретарёв Роман (11634)</t>
  </si>
  <si>
    <t>Уханов Антон (10729)</t>
  </si>
  <si>
    <t>Шереметьева Наталья (11539)</t>
  </si>
  <si>
    <t>Вознесенская Татьяна (5610)</t>
  </si>
  <si>
    <t>Кафедра ДЗТ</t>
  </si>
  <si>
    <t>Добрынина Галина (816)</t>
  </si>
  <si>
    <t>Долганова Диляра (14393)</t>
  </si>
  <si>
    <t>Жогова Мария (5976)</t>
  </si>
  <si>
    <t>Зайцева Татьяна (761)</t>
  </si>
  <si>
    <t>Иванова Ольга (9230)</t>
  </si>
  <si>
    <t>Клочко Инна (2709)</t>
  </si>
  <si>
    <t>Коноплева Нина (698)</t>
  </si>
  <si>
    <t>Королева Людмила (637)</t>
  </si>
  <si>
    <t>Кочеткова Ирина (4508)</t>
  </si>
  <si>
    <t>Кравцов Константин (13962)</t>
  </si>
  <si>
    <t>Мартынова Наталья (13766)</t>
  </si>
  <si>
    <t>Масенкова Дарья (14260)</t>
  </si>
  <si>
    <t>Метляева Татьяна (2504)</t>
  </si>
  <si>
    <t>Мордовцева Татьяна (13668)</t>
  </si>
  <si>
    <t>Панюшкина Ольга (1738)</t>
  </si>
  <si>
    <t>Петухов Олег (772)</t>
  </si>
  <si>
    <t>Погребняк Евгений (6728)</t>
  </si>
  <si>
    <t>Розанова Елена (635)</t>
  </si>
  <si>
    <t>Слесарчук Ирина (651)</t>
  </si>
  <si>
    <t>Туговикова Ольга (921)</t>
  </si>
  <si>
    <t>Фалько Людмила (652)</t>
  </si>
  <si>
    <t>Шеромова Ирина (636)</t>
  </si>
  <si>
    <t>Щекалева Марина (820)</t>
  </si>
  <si>
    <t>Бисикалова Евгения (14028)</t>
  </si>
  <si>
    <t>Кафедра ЕН</t>
  </si>
  <si>
    <t>Вшивкова Татьяна (105263)</t>
  </si>
  <si>
    <t>Гриванов Игорь (7948)</t>
  </si>
  <si>
    <t>Дьяченко Ольга (14081)</t>
  </si>
  <si>
    <t>Иваненко Наталья (7423)</t>
  </si>
  <si>
    <t>Комиссаров Александр (14881)</t>
  </si>
  <si>
    <t>Макарова Вера (11155)</t>
  </si>
  <si>
    <t>Нехлюдова Екатерина (10218)</t>
  </si>
  <si>
    <t>Пашкова Анна (11576)</t>
  </si>
  <si>
    <t>Пономарева Анна (14206)</t>
  </si>
  <si>
    <t>Пушкарь Владимир (3404)</t>
  </si>
  <si>
    <t>Сырица Марина (13854)</t>
  </si>
  <si>
    <t>Тарасова Елена (5704)</t>
  </si>
  <si>
    <t>Терлецкий Игорь (12390)</t>
  </si>
  <si>
    <t>Тихонова Ольга (14869)</t>
  </si>
  <si>
    <t>Цесарская Анастасия (14879)</t>
  </si>
  <si>
    <t>Цыганков Василий (14829)</t>
  </si>
  <si>
    <t>Яшин Вячеслав (14865)</t>
  </si>
  <si>
    <t>Белёв Александр (14001)</t>
  </si>
  <si>
    <t>Кафедра ИБ</t>
  </si>
  <si>
    <t>Етчо Семен (13755)</t>
  </si>
  <si>
    <t>Иванова Анна (12265)</t>
  </si>
  <si>
    <t>Клюев Андрей (13856)</t>
  </si>
  <si>
    <t>Мартышенко Николай (8523)</t>
  </si>
  <si>
    <t>Султанова Екатерина (8349)</t>
  </si>
  <si>
    <t>Шумик Екатерина (5855)</t>
  </si>
  <si>
    <t>Кацурин Алексей (13622)</t>
  </si>
  <si>
    <t>Кафедра ИРАПП</t>
  </si>
  <si>
    <t>Нагорный Иван (14863)</t>
  </si>
  <si>
    <t>Сыч Александр (12478)</t>
  </si>
  <si>
    <t>Белоус Игорь (3178)</t>
  </si>
  <si>
    <t>Кафедра ИТС</t>
  </si>
  <si>
    <t>Богданова Ольга (856)</t>
  </si>
  <si>
    <t>Борисов Роман (13604)</t>
  </si>
  <si>
    <t>Васильев Борис (561)</t>
  </si>
  <si>
    <t>Водяницкий Марк (14280)</t>
  </si>
  <si>
    <t>Гасанов Ариф (14233)</t>
  </si>
  <si>
    <t>Гладкий Роман (115225)</t>
  </si>
  <si>
    <t>Гриняк Виктор (7238)</t>
  </si>
  <si>
    <t>Евстифеев Артем (10269)</t>
  </si>
  <si>
    <t>Ермолицкая Марина (6460)</t>
  </si>
  <si>
    <t>Жукова Анна (6458)</t>
  </si>
  <si>
    <t>Ивин Вячеслав (20)</t>
  </si>
  <si>
    <t>Кийкова Елена (860)</t>
  </si>
  <si>
    <t>Колтунов Сергей (13982)</t>
  </si>
  <si>
    <t>Кригер Александра (5380)</t>
  </si>
  <si>
    <t>Кустов Дмитрий (909)</t>
  </si>
  <si>
    <t>Лаврушина Елена (861)</t>
  </si>
  <si>
    <t>Мажуга Елена (4814)</t>
  </si>
  <si>
    <t>Можаровский Игорь (8430)</t>
  </si>
  <si>
    <t>Молоков Константин (1865)</t>
  </si>
  <si>
    <t>Новак Анастасия (13945)</t>
  </si>
  <si>
    <t>Павликов Сергей (8062)</t>
  </si>
  <si>
    <t>Пинчук Алексей (13669)</t>
  </si>
  <si>
    <t>Регор Светлана (14820)</t>
  </si>
  <si>
    <t>Сачко Максим (5906)</t>
  </si>
  <si>
    <t>Седова Нелли (10495)</t>
  </si>
  <si>
    <t>Селезнев Тим (11840)</t>
  </si>
  <si>
    <t>Соболевская Евгения (2286)</t>
  </si>
  <si>
    <t>Соколов Олег (14230)</t>
  </si>
  <si>
    <t>Тарасов Валентин (11265)</t>
  </si>
  <si>
    <t>Тювеев Антон (11810)</t>
  </si>
  <si>
    <t>Федорищев Леонид (10492)</t>
  </si>
  <si>
    <t>Харитонов Дмитрий (12103)</t>
  </si>
  <si>
    <t>Шнейдер Аркадий (12400)</t>
  </si>
  <si>
    <t>Юдин Павел (8095)</t>
  </si>
  <si>
    <t>Батаев Сергей (10405)</t>
  </si>
  <si>
    <t>Кафедра КАП</t>
  </si>
  <si>
    <t>Верещагин Сергей (4941)</t>
  </si>
  <si>
    <t>Захарова Дарья (14098)</t>
  </si>
  <si>
    <t>Коваль Матвей (11285)</t>
  </si>
  <si>
    <t>Бондарь Галина (14877)</t>
  </si>
  <si>
    <t>Кафедра МБД</t>
  </si>
  <si>
    <t>Гайнуллина Юлия (13844)</t>
  </si>
  <si>
    <t>Журавская Наталья (11566)</t>
  </si>
  <si>
    <t>Кнутикова Мария (13833)</t>
  </si>
  <si>
    <t>Крукович Елена (12427)</t>
  </si>
  <si>
    <t>Маркин Валентин (13951)</t>
  </si>
  <si>
    <t>Анкудинова Ирина (7931)</t>
  </si>
  <si>
    <t>Кафедра МКП</t>
  </si>
  <si>
    <t>Балыбердина Юлия (14850)</t>
  </si>
  <si>
    <t>Бараболина Анастасия (14283)</t>
  </si>
  <si>
    <t>Басова Мария (14295)</t>
  </si>
  <si>
    <t>Верзина Яна (11827)</t>
  </si>
  <si>
    <t>Гаврилова Татьяна (244)</t>
  </si>
  <si>
    <t>Гнездечко Оксана (10180)</t>
  </si>
  <si>
    <t>Горбунова Мария (9715)</t>
  </si>
  <si>
    <t>Григорьева Марина (769)</t>
  </si>
  <si>
    <t>Гукалова Юлия (11828)</t>
  </si>
  <si>
    <t>Данилина Екатерина (5968)</t>
  </si>
  <si>
    <t>Долгая Ева (13832)</t>
  </si>
  <si>
    <t>Ким Анатолий (11826)</t>
  </si>
  <si>
    <t>Кононов Артем (11169)</t>
  </si>
  <si>
    <t>Королева Виктория (2091)</t>
  </si>
  <si>
    <t>Котенко Светлана (4609)</t>
  </si>
  <si>
    <t>Ли Полина (12117)</t>
  </si>
  <si>
    <t>Марус Николай (13973)</t>
  </si>
  <si>
    <t>Молодых Валерий (4575)</t>
  </si>
  <si>
    <t>Морозова Юлия (4494)</t>
  </si>
  <si>
    <t>Мясникова Светлана (4484)</t>
  </si>
  <si>
    <t>Налетка Оксана (11650)</t>
  </si>
  <si>
    <t>Ни Жанна (12141)</t>
  </si>
  <si>
    <t>Павлюк Наталья (14282)</t>
  </si>
  <si>
    <t>Пак Леонид (8112)</t>
  </si>
  <si>
    <t>Повалюхина Анастасия (347)</t>
  </si>
  <si>
    <t>Полякова Татьяна (14408)</t>
  </si>
  <si>
    <t>Радаев Пётр (11355)</t>
  </si>
  <si>
    <t>Радаева Юлия (2832)</t>
  </si>
  <si>
    <t>Смогунова Ольга (8836)</t>
  </si>
  <si>
    <t>Соколова Дарья (11412)</t>
  </si>
  <si>
    <t>Титовская Анна (11990)</t>
  </si>
  <si>
    <t>Уткина Светлана (9204)</t>
  </si>
  <si>
    <t>Хисамутдинова Наталья (6564)</t>
  </si>
  <si>
    <t>Чернышева Анна (11817)</t>
  </si>
  <si>
    <t>Шеховцова Татьяна (4600)</t>
  </si>
  <si>
    <t>Явтушенко Ирина (7855)</t>
  </si>
  <si>
    <t>Белозерцева Наталья (250)</t>
  </si>
  <si>
    <t>Кафедра МЛ</t>
  </si>
  <si>
    <t>Блюдик Ангелина (12483)</t>
  </si>
  <si>
    <t>Глухоманова Августа (6177)</t>
  </si>
  <si>
    <t>Жохова Валентина (11519)</t>
  </si>
  <si>
    <t>Кметь Елена (7828)</t>
  </si>
  <si>
    <t>Лайчук Ольга (4929)</t>
  </si>
  <si>
    <t>Латкин Александр (952)</t>
  </si>
  <si>
    <t>Локша Анна (8812)</t>
  </si>
  <si>
    <t>Масленникова Евгения (5043)</t>
  </si>
  <si>
    <t>Павлова Валерия (11512)</t>
  </si>
  <si>
    <t>Севостьянова Ангелина (14484)</t>
  </si>
  <si>
    <t>Смольянинова Елена (2038)</t>
  </si>
  <si>
    <t>Степулёва Людмила (709)</t>
  </si>
  <si>
    <t>Тилиндис Татьяна (7474)</t>
  </si>
  <si>
    <t>Трапезникова Елена (11836)</t>
  </si>
  <si>
    <t>Шеньо Юлия (14123)</t>
  </si>
  <si>
    <t>Юрченко Наталья (8436)</t>
  </si>
  <si>
    <t>Бегун Александра (5059)</t>
  </si>
  <si>
    <t>Кафедра ММ</t>
  </si>
  <si>
    <t>Галимзянова Ксения (11764)</t>
  </si>
  <si>
    <t>Герасименко Екатерина (14864)</t>
  </si>
  <si>
    <t>Голодная Наталья (1022)</t>
  </si>
  <si>
    <t>Гренкин Глеб (12378)</t>
  </si>
  <si>
    <t>Гресько Александр (2312)</t>
  </si>
  <si>
    <t>Дац Евгений (7918)</t>
  </si>
  <si>
    <t>Клочкова Ольга (500899)</t>
  </si>
  <si>
    <t>Кочева Екатерина (14413)</t>
  </si>
  <si>
    <t>Красько Андрей (11070)</t>
  </si>
  <si>
    <t>Куликова Оксана (14340)</t>
  </si>
  <si>
    <t>Кучерова Светлана (6435)</t>
  </si>
  <si>
    <t>Любимов Евгений (10107)</t>
  </si>
  <si>
    <t>Мазелис Андрей (2320)</t>
  </si>
  <si>
    <t>Мазелис Лев (1030)</t>
  </si>
  <si>
    <t>Мартышенко Сергей (5)</t>
  </si>
  <si>
    <t>Олейник Елена (14817)</t>
  </si>
  <si>
    <t>Панченко Галина (6057)</t>
  </si>
  <si>
    <t>Плешкова Татьяна (14856)</t>
  </si>
  <si>
    <t>Рогулин Родион (11633)</t>
  </si>
  <si>
    <t>Солодухин Константин (1035)</t>
  </si>
  <si>
    <t>Штука Виктор (11204)</t>
  </si>
  <si>
    <t>Абросимова Евгения (9778)</t>
  </si>
  <si>
    <t>Кафедра МОГУ</t>
  </si>
  <si>
    <t>Бурлаков Виктор (5937)</t>
  </si>
  <si>
    <t>Волынчук Андрей (9728)</t>
  </si>
  <si>
    <t>Воронцов Николай (101229)</t>
  </si>
  <si>
    <t>Гриванов Роман (2677)</t>
  </si>
  <si>
    <t>Ким Александр (11414)</t>
  </si>
  <si>
    <t>Козинец Андрей (101234)</t>
  </si>
  <si>
    <t>Котляр Надежда (8067)</t>
  </si>
  <si>
    <t>Красова Елена (796)</t>
  </si>
  <si>
    <t>Максимова Татьяна (12156)</t>
  </si>
  <si>
    <t>Николенко Анастасия (6276)</t>
  </si>
  <si>
    <t>Печерица Владимир (131056)</t>
  </si>
  <si>
    <t>Склярова Софья (11336)</t>
  </si>
  <si>
    <t>Тушков Александр (642)</t>
  </si>
  <si>
    <t>Автомонов Евгений (12502)</t>
  </si>
  <si>
    <t>Кафедра НД</t>
  </si>
  <si>
    <t>Городников Олег (11847)</t>
  </si>
  <si>
    <t>Суранов Павел (12353)</t>
  </si>
  <si>
    <t>Кафедра ОЮП</t>
  </si>
  <si>
    <t>Андреева Ольга (11549)</t>
  </si>
  <si>
    <t>Бояркеева Зоя (116553)</t>
  </si>
  <si>
    <t>Броцкина Ольга (13847)</t>
  </si>
  <si>
    <t>Величко Татьяна (11229)</t>
  </si>
  <si>
    <t>Глушак Елена (14873)</t>
  </si>
  <si>
    <t>Дудко Виктория (11458)</t>
  </si>
  <si>
    <t>Екинцев Владислав (11550)</t>
  </si>
  <si>
    <t>Захаров Константин (11419)</t>
  </si>
  <si>
    <t>Киришева Инна (13628)</t>
  </si>
  <si>
    <t>Колесниченко Кирилл (14825)</t>
  </si>
  <si>
    <t>Колодин Дмитрий (14278)</t>
  </si>
  <si>
    <t>Коротина Ольга (7352)</t>
  </si>
  <si>
    <t>Махова Ирина (120142)</t>
  </si>
  <si>
    <t>Олешкевич Надежда (3830)</t>
  </si>
  <si>
    <t>Самойличенко Александр (6363)</t>
  </si>
  <si>
    <t>Серова Евгения (10052)</t>
  </si>
  <si>
    <t>Степкова Оксана (10760)</t>
  </si>
  <si>
    <t>Черемискина Ирина (10878)</t>
  </si>
  <si>
    <t>Чернявская Валентина (6943)</t>
  </si>
  <si>
    <t>Юрова Татьяна (7763)</t>
  </si>
  <si>
    <t>Яровенко Варвара (10203)</t>
  </si>
  <si>
    <t>Славгородская Александра (14720)</t>
  </si>
  <si>
    <t>Кафедра ПГС</t>
  </si>
  <si>
    <t>Федюк Роман (14555)</t>
  </si>
  <si>
    <t>Котова Светлана (13959)</t>
  </si>
  <si>
    <t>Кафедра ПО</t>
  </si>
  <si>
    <t>Кравцов Вячеслав (13802)</t>
  </si>
  <si>
    <t>Никитина Дарья (14274)</t>
  </si>
  <si>
    <t>Антипова Светлана (3905)</t>
  </si>
  <si>
    <t>Кафедра РЯЗ</t>
  </si>
  <si>
    <t>Борзова Татьяна (11048)</t>
  </si>
  <si>
    <t>Воронина Олеся (2739)</t>
  </si>
  <si>
    <t>Гускина Екатерина (10264)</t>
  </si>
  <si>
    <t>Дербенева Ольга (2298)</t>
  </si>
  <si>
    <t>Ковалёва Татьяна (208)</t>
  </si>
  <si>
    <t>Коновалова Юлия (248)</t>
  </si>
  <si>
    <t>Криницкая Марина (7839)</t>
  </si>
  <si>
    <t>Михайлова Ирина (7309)</t>
  </si>
  <si>
    <t>Пилюгина Наталья (1998)</t>
  </si>
  <si>
    <t>Пугачёва Елена (2304)</t>
  </si>
  <si>
    <t>Свиридова Анна (7280)</t>
  </si>
  <si>
    <t>Тюрин Павел (7639)</t>
  </si>
  <si>
    <t>Барабаш Ольга (11092)</t>
  </si>
  <si>
    <t>Кафедра СПД</t>
  </si>
  <si>
    <t>Воскобойников Алексей (11286)</t>
  </si>
  <si>
    <t>Высовень Галина (11815)</t>
  </si>
  <si>
    <t>Горбунова Ольга (8393)</t>
  </si>
  <si>
    <t>Гудков Юрий (11330)</t>
  </si>
  <si>
    <t>Дьяконова Тамара (11588)</t>
  </si>
  <si>
    <t>Мазитова Наталия (11436)</t>
  </si>
  <si>
    <t>Мунирова Екатерина (11454)</t>
  </si>
  <si>
    <t>Панкрашин Денис (11797)</t>
  </si>
  <si>
    <t>Плотникова Оксана (749)</t>
  </si>
  <si>
    <t>Рудых Татьяна (5049)</t>
  </si>
  <si>
    <t>Степанов Герман (12440)</t>
  </si>
  <si>
    <t>Чумаш Валерия (2805)</t>
  </si>
  <si>
    <t>Шевцов Андрей (14047)</t>
  </si>
  <si>
    <t>Гомилевская Галина (3560)</t>
  </si>
  <si>
    <t>Кафедра ТГРБ</t>
  </si>
  <si>
    <t>Ден Валерия (11289)</t>
  </si>
  <si>
    <t>Каменная Елена (11084)</t>
  </si>
  <si>
    <t>Мельникова Людмила (5690)</t>
  </si>
  <si>
    <t>Олейникова Илона (5949)</t>
  </si>
  <si>
    <t>Петрова Галина (8867)</t>
  </si>
  <si>
    <t>Саранча Григорий (14521)</t>
  </si>
  <si>
    <t>Станиславчук Виталий (10633)</t>
  </si>
  <si>
    <t>Столярова Вероника (11272)</t>
  </si>
  <si>
    <t>Суржиков Виктор (4243)</t>
  </si>
  <si>
    <t>Шеметова Елена (5342)</t>
  </si>
  <si>
    <t>Щипачева Анастасия (12061)</t>
  </si>
  <si>
    <t>Барбенко Ярослав (13800)</t>
  </si>
  <si>
    <t>Кафедра ТИРЗП</t>
  </si>
  <si>
    <t>Грановская Ольга (11833)</t>
  </si>
  <si>
    <t>Илларионов Алексей (2852)</t>
  </si>
  <si>
    <t>Личковаха Анна (1180)</t>
  </si>
  <si>
    <t>Мамычев Алексей (8954)</t>
  </si>
  <si>
    <t>Матюк Юлия (11453)</t>
  </si>
  <si>
    <t>Мефодьева Светлана (1067)</t>
  </si>
  <si>
    <t>Мусиенко Инесса (11772)</t>
  </si>
  <si>
    <t>Овчинников Сергей (1195)</t>
  </si>
  <si>
    <t>Тимофеева Алла (1168)</t>
  </si>
  <si>
    <t>Тимошина Людмила (12058)</t>
  </si>
  <si>
    <t>Тригуб Георгий (1032)</t>
  </si>
  <si>
    <t>Бровко Петр (14947)</t>
  </si>
  <si>
    <t>Кафедра ТПТ</t>
  </si>
  <si>
    <t>Гребенюк Игорь (12235)</t>
  </si>
  <si>
    <t>Гриванова Ольга (1725)</t>
  </si>
  <si>
    <t>Карсаков Кирилл (13879)</t>
  </si>
  <si>
    <t>Киселева Елена (12385)</t>
  </si>
  <si>
    <t>Охоткина Виктория (12402)</t>
  </si>
  <si>
    <t>Поготовкина Наталья (2343)</t>
  </si>
  <si>
    <t>Тунгусова Елена (11696)</t>
  </si>
  <si>
    <t>Яценко Александр (1954)</t>
  </si>
  <si>
    <t>Верещагина Алла (4627)</t>
  </si>
  <si>
    <t>Кафедра УПД</t>
  </si>
  <si>
    <t>Голубева Александра (8816)</t>
  </si>
  <si>
    <t>Меньшикова Наталья (11811)</t>
  </si>
  <si>
    <t>Омельяненко Мария (102103)</t>
  </si>
  <si>
    <t>Поляков Игорь (108524)</t>
  </si>
  <si>
    <t>Реховский Александр (10523)</t>
  </si>
  <si>
    <t>Соболык Владимир (14254)</t>
  </si>
  <si>
    <t>Хазизулин Виталий (12122)</t>
  </si>
  <si>
    <t>Щербаков Александр (12259)</t>
  </si>
  <si>
    <t>Агафонова Галина (14237)</t>
  </si>
  <si>
    <t>Кафедра ЭУ</t>
  </si>
  <si>
    <t>Акинфеев Дмитрий (13986)</t>
  </si>
  <si>
    <t>Андреев Вячеслав (5139)</t>
  </si>
  <si>
    <t>Арнаут Марина (3125)</t>
  </si>
  <si>
    <t>Балдина Юлия (3272)</t>
  </si>
  <si>
    <t>Бараусова Елена (903)</t>
  </si>
  <si>
    <t>Батурина Ольга (8439)</t>
  </si>
  <si>
    <t>Белик Елена (7134)</t>
  </si>
  <si>
    <t>Белоглазова Виктория (11787)</t>
  </si>
  <si>
    <t>Бубновская Татьяна (5446)</t>
  </si>
  <si>
    <t>Варкулевич Татьяна (6450)</t>
  </si>
  <si>
    <t>Василенко Марина (7236)</t>
  </si>
  <si>
    <t>Веролайнен Сергей (7649)</t>
  </si>
  <si>
    <t>Вертинова Анна (11317)</t>
  </si>
  <si>
    <t>Водопьянова Валентина (320)</t>
  </si>
  <si>
    <t>Волынчук Яна (263)</t>
  </si>
  <si>
    <t>Гавриш Полина (11625)</t>
  </si>
  <si>
    <t>Гу Эркан (14124)</t>
  </si>
  <si>
    <t>Даниловских Татьяна (3814)</t>
  </si>
  <si>
    <t>Ершова Татьяна (11506)</t>
  </si>
  <si>
    <t>Ефимов Лев (13868)</t>
  </si>
  <si>
    <t>Ивельская Нина (4295)</t>
  </si>
  <si>
    <t>Комиссарова Валерия (3177)</t>
  </si>
  <si>
    <t>Корень Андрей (7842)</t>
  </si>
  <si>
    <t>Кошевая Елена (243)</t>
  </si>
  <si>
    <t>Кривошапова Светлана (988)</t>
  </si>
  <si>
    <t>Купчик Артем (13841)</t>
  </si>
  <si>
    <t>Лебединская Юлия (2308)</t>
  </si>
  <si>
    <t>Левченко Татьяна (10746)</t>
  </si>
  <si>
    <t>Маликова Диляра (14078)</t>
  </si>
  <si>
    <t>Малышева Виктория (4603)</t>
  </si>
  <si>
    <t>Масилова Марина (3407)</t>
  </si>
  <si>
    <t>Масюк Наталья (9528)</t>
  </si>
  <si>
    <t>Недолужко Ольга (4844)</t>
  </si>
  <si>
    <t>Нигай Евгения (10905)</t>
  </si>
  <si>
    <t>Ослопова Марина (6813)</t>
  </si>
  <si>
    <t>Пашук Наталья (11042)</t>
  </si>
  <si>
    <t>Петрук Галина (7286)</t>
  </si>
  <si>
    <t>Попова Инна (6403)</t>
  </si>
  <si>
    <t>Разумова Юлия (5897)</t>
  </si>
  <si>
    <t>Рахманова Марина (6376)</t>
  </si>
  <si>
    <t>Салова Любовь (2843)</t>
  </si>
  <si>
    <t>Самарина Наталья (4741)</t>
  </si>
  <si>
    <t>Смицких Ксения (5857)</t>
  </si>
  <si>
    <t>Солобнева Мария (14573)</t>
  </si>
  <si>
    <t>Терентьева Татьяна (1010)</t>
  </si>
  <si>
    <t>Титова Наталья (5828)</t>
  </si>
  <si>
    <t>Царева Наталья (7719)</t>
  </si>
  <si>
    <t>Шеломенцев Андрей (10054)</t>
  </si>
  <si>
    <t>Шереметьева Нина (14213)</t>
  </si>
  <si>
    <t>НОЦ ИИ</t>
  </si>
  <si>
    <t>Вишневский Андрей (14591)</t>
  </si>
  <si>
    <t>Грибова Валерия (8047)</t>
  </si>
  <si>
    <t>Клышинский Эдуард (102300)</t>
  </si>
  <si>
    <t>Костерин Владимир (13614)</t>
  </si>
  <si>
    <t>Назаров Дмитрий (2093)</t>
  </si>
  <si>
    <t>Шалфеева Елена (7859)</t>
  </si>
  <si>
    <t>Шахгельдян Карина (559)</t>
  </si>
  <si>
    <t>Бирюкова Оксана (12481)</t>
  </si>
  <si>
    <t>Педагогический институт</t>
  </si>
  <si>
    <t>Власенко Татьяна (12448)</t>
  </si>
  <si>
    <t>Заяц Анна (14303)</t>
  </si>
  <si>
    <t>Комашинская Татьяна (12437)</t>
  </si>
  <si>
    <t>Коротких Егор (11315)</t>
  </si>
  <si>
    <t>Котов Константин (13886)</t>
  </si>
  <si>
    <t>Немцова Валерия (13616)</t>
  </si>
  <si>
    <t>Пишун Сергей (14330)</t>
  </si>
  <si>
    <t>Плохотнюк Сергей (13681)</t>
  </si>
  <si>
    <t>Поддубная Яна (12439)</t>
  </si>
  <si>
    <t>Попов Ярослав (12438)</t>
  </si>
  <si>
    <t>Рыбель Дмитрий (13849)</t>
  </si>
  <si>
    <t>Рябченко Сергей (12482)</t>
  </si>
  <si>
    <t>Сахатский Алексей (13846)</t>
  </si>
  <si>
    <t>Слинькова Татьяна (13898)</t>
  </si>
  <si>
    <t>Шишлова Марина (14114)</t>
  </si>
  <si>
    <t xml:space="preserve">   </t>
  </si>
  <si>
    <t>2-я пол.</t>
  </si>
  <si>
    <t>План</t>
  </si>
  <si>
    <t>1-я пол.</t>
  </si>
  <si>
    <t>План-Норм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</si>
</sst>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name val="Tahoma"/>
      <family val="2"/>
      <charset val="204"/>
    </font>
    <font>
      <sz val="10"/>
      <name val="Tahoma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</cellStyleXfs>
  <cellXfs count="30"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33" borderId="10" xfId="0" applyFont="1" applyFill="1" applyBorder="1" applyAlignment="1">
      <alignment horizontal="left" vertical="center"/>
    </xf>
    <xf numFmtId="0" fontId="0" fillId="0" borderId="0" xfId="0"/>
    <xf numFmtId="0" fontId="21" fillId="0" borderId="0" xfId="0" applyFont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1" xfId="0" applyFont="1" applyBorder="1" applyAlignment="1">
      <alignment horizontal="center"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5"/>
  <sheetViews>
    <sheetView showGridLines="0" tabSelected="1" workbookViewId="0">
      <pane xSplit="5" ySplit="7" topLeftCell="AJ8" activePane="bottomRight" state="frozen"/>
      <selection pane="topRight" activeCell="F1" sqref="F1"/>
      <selection pane="bottomLeft" activeCell="A7" sqref="A7"/>
      <selection pane="bottomRight" activeCell="AQ17" sqref="AQ17"/>
    </sheetView>
  </sheetViews>
  <sheetFormatPr defaultRowHeight="12.75" x14ac:dyDescent="0.2"/>
  <cols>
    <col min="1" max="1" width="7.28515625" bestFit="1" customWidth="1"/>
    <col min="2" max="2" width="31.7109375" bestFit="1" customWidth="1"/>
    <col min="3" max="3" width="22.28515625" bestFit="1" customWidth="1"/>
    <col min="4" max="4" width="7.85546875" bestFit="1" customWidth="1"/>
    <col min="5" max="5" width="22.5703125" bestFit="1" customWidth="1"/>
    <col min="6" max="6" width="8" bestFit="1" customWidth="1"/>
    <col min="7" max="8" width="11.140625" bestFit="1" customWidth="1"/>
    <col min="9" max="9" width="12.5703125" bestFit="1" customWidth="1"/>
    <col min="10" max="10" width="16.7109375" bestFit="1" customWidth="1"/>
    <col min="12" max="12" width="15.5703125" bestFit="1" customWidth="1"/>
    <col min="13" max="13" width="11.140625" bestFit="1" customWidth="1"/>
    <col min="14" max="14" width="13.42578125" bestFit="1" customWidth="1"/>
    <col min="15" max="15" width="15" bestFit="1" customWidth="1"/>
    <col min="16" max="16" width="13.140625" bestFit="1" customWidth="1"/>
    <col min="17" max="17" width="6.42578125" bestFit="1" customWidth="1"/>
    <col min="18" max="18" width="16.7109375" bestFit="1" customWidth="1"/>
    <col min="20" max="20" width="15.5703125" bestFit="1" customWidth="1"/>
    <col min="21" max="21" width="11.140625" bestFit="1" customWidth="1"/>
    <col min="22" max="22" width="13.42578125" bestFit="1" customWidth="1"/>
    <col min="23" max="23" width="15" bestFit="1" customWidth="1"/>
    <col min="24" max="24" width="13.140625" bestFit="1" customWidth="1"/>
    <col min="25" max="25" width="8" bestFit="1" customWidth="1"/>
    <col min="26" max="26" width="16.7109375" bestFit="1" customWidth="1"/>
    <col min="28" max="28" width="15.5703125" bestFit="1" customWidth="1"/>
    <col min="29" max="29" width="11.140625" bestFit="1" customWidth="1"/>
    <col min="30" max="30" width="13.42578125" bestFit="1" customWidth="1"/>
    <col min="31" max="31" width="15" bestFit="1" customWidth="1"/>
    <col min="32" max="32" width="13.140625" bestFit="1" customWidth="1"/>
    <col min="33" max="33" width="6.42578125" bestFit="1" customWidth="1"/>
    <col min="34" max="34" width="16.7109375" bestFit="1" customWidth="1"/>
    <col min="36" max="36" width="15.5703125" bestFit="1" customWidth="1"/>
    <col min="37" max="37" width="11.140625" bestFit="1" customWidth="1"/>
    <col min="38" max="38" width="13.42578125" bestFit="1" customWidth="1"/>
    <col min="39" max="39" width="15" bestFit="1" customWidth="1"/>
    <col min="40" max="40" width="13.140625" bestFit="1" customWidth="1"/>
    <col min="41" max="42" width="8.85546875" bestFit="1" customWidth="1"/>
    <col min="43" max="43" width="7.7109375" customWidth="1"/>
    <col min="44" max="44" width="11.7109375" bestFit="1" customWidth="1"/>
  </cols>
  <sheetData>
    <row r="1" spans="1:44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44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44" ht="14.25" x14ac:dyDescent="0.2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  <c r="F3" s="14" t="s">
        <v>6</v>
      </c>
      <c r="G3" s="15"/>
      <c r="H3" s="16"/>
      <c r="I3" s="14" t="s">
        <v>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14" t="s">
        <v>8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  <c r="AO3" s="5"/>
      <c r="AP3" s="5"/>
    </row>
    <row r="4" spans="1:44" ht="14.25" x14ac:dyDescent="0.2">
      <c r="A4" s="25"/>
      <c r="B4" s="25"/>
      <c r="C4" s="25"/>
      <c r="D4" s="25"/>
      <c r="E4" s="25"/>
      <c r="F4" s="27"/>
      <c r="G4" s="28"/>
      <c r="H4" s="29"/>
      <c r="I4" s="2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17" t="s">
        <v>9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9"/>
      <c r="AO4" s="5"/>
      <c r="AP4" s="5"/>
    </row>
    <row r="5" spans="1:44" ht="14.25" x14ac:dyDescent="0.2">
      <c r="A5" s="25"/>
      <c r="B5" s="25"/>
      <c r="C5" s="25"/>
      <c r="D5" s="25"/>
      <c r="E5" s="25"/>
      <c r="F5" s="17"/>
      <c r="G5" s="18"/>
      <c r="H5" s="19"/>
      <c r="I5" s="17"/>
      <c r="J5" s="20"/>
      <c r="K5" s="20"/>
      <c r="L5" s="20"/>
      <c r="M5" s="20"/>
      <c r="N5" s="20"/>
      <c r="O5" s="20"/>
      <c r="P5" s="21"/>
      <c r="Q5" s="22" t="s">
        <v>11</v>
      </c>
      <c r="R5" s="20"/>
      <c r="S5" s="20"/>
      <c r="T5" s="20"/>
      <c r="U5" s="20"/>
      <c r="V5" s="20"/>
      <c r="W5" s="20"/>
      <c r="X5" s="21"/>
      <c r="Y5" s="22" t="s">
        <v>10</v>
      </c>
      <c r="Z5" s="20"/>
      <c r="AA5" s="20"/>
      <c r="AB5" s="20"/>
      <c r="AC5" s="20"/>
      <c r="AD5" s="20"/>
      <c r="AE5" s="20"/>
      <c r="AF5" s="21"/>
      <c r="AG5" s="22" t="s">
        <v>11</v>
      </c>
      <c r="AH5" s="20"/>
      <c r="AI5" s="20"/>
      <c r="AJ5" s="20"/>
      <c r="AK5" s="20"/>
      <c r="AL5" s="20"/>
      <c r="AM5" s="20"/>
      <c r="AN5" s="21"/>
      <c r="AO5" s="5"/>
      <c r="AP5" s="5"/>
    </row>
    <row r="6" spans="1:44" ht="14.25" x14ac:dyDescent="0.2">
      <c r="A6" s="26"/>
      <c r="B6" s="26"/>
      <c r="C6" s="26"/>
      <c r="D6" s="26"/>
      <c r="E6" s="26"/>
      <c r="F6" s="2" t="s">
        <v>12</v>
      </c>
      <c r="G6" s="2" t="s">
        <v>13</v>
      </c>
      <c r="H6" s="2" t="s">
        <v>14</v>
      </c>
      <c r="I6" s="2" t="s">
        <v>10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12</v>
      </c>
      <c r="R6" s="2" t="s">
        <v>15</v>
      </c>
      <c r="S6" s="2" t="s">
        <v>16</v>
      </c>
      <c r="T6" s="2" t="s">
        <v>17</v>
      </c>
      <c r="U6" s="2" t="s">
        <v>18</v>
      </c>
      <c r="V6" s="2" t="s">
        <v>19</v>
      </c>
      <c r="W6" s="2" t="s">
        <v>20</v>
      </c>
      <c r="X6" s="2" t="s">
        <v>21</v>
      </c>
      <c r="Y6" s="2" t="s">
        <v>12</v>
      </c>
      <c r="Z6" s="2" t="s">
        <v>15</v>
      </c>
      <c r="AA6" s="2" t="s">
        <v>16</v>
      </c>
      <c r="AB6" s="2" t="s">
        <v>17</v>
      </c>
      <c r="AC6" s="2" t="s">
        <v>18</v>
      </c>
      <c r="AD6" s="2" t="s">
        <v>19</v>
      </c>
      <c r="AE6" s="2" t="s">
        <v>20</v>
      </c>
      <c r="AF6" s="2" t="s">
        <v>21</v>
      </c>
      <c r="AG6" s="2" t="s">
        <v>12</v>
      </c>
      <c r="AH6" s="2" t="s">
        <v>15</v>
      </c>
      <c r="AI6" s="2" t="s">
        <v>16</v>
      </c>
      <c r="AJ6" s="2" t="s">
        <v>17</v>
      </c>
      <c r="AK6" s="2" t="s">
        <v>18</v>
      </c>
      <c r="AL6" s="2" t="s">
        <v>19</v>
      </c>
      <c r="AM6" s="2" t="s">
        <v>20</v>
      </c>
      <c r="AN6" s="2" t="s">
        <v>21</v>
      </c>
      <c r="AO6" s="5" t="s">
        <v>466</v>
      </c>
      <c r="AP6" s="5" t="s">
        <v>464</v>
      </c>
      <c r="AQ6" s="5" t="s">
        <v>465</v>
      </c>
      <c r="AR6" s="5" t="s">
        <v>467</v>
      </c>
    </row>
    <row r="7" spans="1:44" ht="14.25" x14ac:dyDescent="0.2">
      <c r="A7" s="6"/>
      <c r="B7" s="6">
        <f>SUBTOTAL(3,B8:B435)</f>
        <v>427</v>
      </c>
      <c r="C7" s="6"/>
      <c r="D7" s="6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5"/>
      <c r="AP7" s="5"/>
    </row>
    <row r="8" spans="1:44" x14ac:dyDescent="0.2">
      <c r="A8" s="3">
        <v>1</v>
      </c>
      <c r="B8" s="3" t="s">
        <v>22</v>
      </c>
      <c r="C8" s="3"/>
      <c r="D8" s="3">
        <v>0</v>
      </c>
      <c r="E8" s="3"/>
      <c r="F8" s="4">
        <v>0</v>
      </c>
      <c r="G8" s="4">
        <v>0</v>
      </c>
      <c r="H8" s="4">
        <v>0</v>
      </c>
      <c r="I8" s="4">
        <v>0</v>
      </c>
      <c r="J8" s="4"/>
      <c r="K8" s="4"/>
      <c r="L8" s="4"/>
      <c r="M8" s="4"/>
      <c r="N8" s="4"/>
      <c r="O8" s="4"/>
      <c r="P8" s="4"/>
      <c r="Q8" s="4">
        <v>0</v>
      </c>
      <c r="R8" s="4"/>
      <c r="S8" s="4"/>
      <c r="T8" s="4"/>
      <c r="U8" s="4"/>
      <c r="V8" s="4"/>
      <c r="W8" s="4"/>
      <c r="X8" s="4"/>
      <c r="Y8" s="4">
        <v>0</v>
      </c>
      <c r="Z8" s="4"/>
      <c r="AA8" s="4"/>
      <c r="AB8" s="4"/>
      <c r="AC8" s="4"/>
      <c r="AD8" s="4"/>
      <c r="AE8" s="4"/>
      <c r="AF8" s="4"/>
      <c r="AG8" s="4">
        <v>0</v>
      </c>
      <c r="AH8" s="4"/>
      <c r="AI8" s="4"/>
      <c r="AJ8" s="4"/>
      <c r="AK8" s="4"/>
      <c r="AL8" s="4"/>
      <c r="AM8" s="4"/>
      <c r="AN8" s="4"/>
      <c r="AO8" s="10"/>
      <c r="AP8" s="10"/>
    </row>
    <row r="9" spans="1:44" x14ac:dyDescent="0.2">
      <c r="A9" s="3">
        <v>2</v>
      </c>
      <c r="B9" s="3" t="s">
        <v>23</v>
      </c>
      <c r="C9" s="3" t="s">
        <v>24</v>
      </c>
      <c r="D9" s="3">
        <v>0.25</v>
      </c>
      <c r="E9" s="3" t="s">
        <v>25</v>
      </c>
      <c r="F9" s="4">
        <v>364.75</v>
      </c>
      <c r="G9" s="4">
        <v>222.5</v>
      </c>
      <c r="H9" s="4">
        <v>142.25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10">
        <f>I9</f>
        <v>0</v>
      </c>
      <c r="AP9" s="10">
        <f>SUM(J9:P9)</f>
        <v>20</v>
      </c>
      <c r="AQ9" s="1">
        <f>AO9+AP9</f>
        <v>20</v>
      </c>
      <c r="AR9" s="1">
        <f>AQ9-F9</f>
        <v>-344.75</v>
      </c>
    </row>
    <row r="10" spans="1:44" x14ac:dyDescent="0.2">
      <c r="A10" s="3">
        <v>3</v>
      </c>
      <c r="B10" s="3" t="s">
        <v>26</v>
      </c>
      <c r="C10" s="3" t="s">
        <v>27</v>
      </c>
      <c r="D10" s="3">
        <v>0.25</v>
      </c>
      <c r="E10" s="3" t="s">
        <v>25</v>
      </c>
      <c r="F10" s="4">
        <v>364.75</v>
      </c>
      <c r="G10" s="4">
        <v>222.5</v>
      </c>
      <c r="H10" s="4">
        <v>142.25</v>
      </c>
      <c r="I10" s="4">
        <v>124</v>
      </c>
      <c r="J10" s="4">
        <v>28.5</v>
      </c>
      <c r="K10" s="4">
        <v>0.4</v>
      </c>
      <c r="L10" s="4">
        <v>0</v>
      </c>
      <c r="M10" s="4">
        <v>0</v>
      </c>
      <c r="N10" s="4">
        <v>251.7</v>
      </c>
      <c r="O10" s="4">
        <v>72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352.6</v>
      </c>
      <c r="Z10" s="4">
        <v>28.5</v>
      </c>
      <c r="AA10" s="4">
        <v>0.4</v>
      </c>
      <c r="AB10" s="4">
        <v>0</v>
      </c>
      <c r="AC10" s="4">
        <v>0</v>
      </c>
      <c r="AD10" s="4">
        <v>251.7</v>
      </c>
      <c r="AE10" s="4">
        <v>72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10">
        <f t="shared" ref="AO10:AO73" si="0">I10</f>
        <v>124</v>
      </c>
      <c r="AP10" s="10">
        <f t="shared" ref="AP10:AP73" si="1">SUM(J10:P10)</f>
        <v>352.59999999999997</v>
      </c>
      <c r="AQ10" s="1">
        <f t="shared" ref="AQ10:AQ73" si="2">AO10+AP10</f>
        <v>476.59999999999997</v>
      </c>
      <c r="AR10" s="1">
        <f t="shared" ref="AR10:AR73" si="3">AQ10-F10</f>
        <v>111.84999999999997</v>
      </c>
    </row>
    <row r="11" spans="1:44" x14ac:dyDescent="0.2">
      <c r="A11" s="3">
        <v>4</v>
      </c>
      <c r="B11" s="3" t="s">
        <v>28</v>
      </c>
      <c r="C11" s="3" t="s">
        <v>27</v>
      </c>
      <c r="D11" s="3">
        <v>0.25</v>
      </c>
      <c r="E11" s="3" t="s">
        <v>25</v>
      </c>
      <c r="F11" s="4">
        <v>364.75</v>
      </c>
      <c r="G11" s="4">
        <v>222.5</v>
      </c>
      <c r="H11" s="4">
        <v>142.25</v>
      </c>
      <c r="I11" s="4">
        <v>129.5</v>
      </c>
      <c r="J11" s="4">
        <v>27.5</v>
      </c>
      <c r="K11" s="4">
        <v>0.2</v>
      </c>
      <c r="L11" s="4">
        <v>0</v>
      </c>
      <c r="M11" s="4">
        <v>0</v>
      </c>
      <c r="N11" s="4">
        <v>243.1</v>
      </c>
      <c r="O11" s="4">
        <v>72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342.8</v>
      </c>
      <c r="Z11" s="4">
        <v>27.5</v>
      </c>
      <c r="AA11" s="4">
        <v>0.2</v>
      </c>
      <c r="AB11" s="4">
        <v>0</v>
      </c>
      <c r="AC11" s="4">
        <v>0</v>
      </c>
      <c r="AD11" s="4">
        <v>243.1</v>
      </c>
      <c r="AE11" s="4">
        <v>72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10">
        <f t="shared" si="0"/>
        <v>129.5</v>
      </c>
      <c r="AP11" s="10">
        <f t="shared" si="1"/>
        <v>342.8</v>
      </c>
      <c r="AQ11" s="1">
        <f t="shared" si="2"/>
        <v>472.3</v>
      </c>
      <c r="AR11" s="1">
        <f t="shared" si="3"/>
        <v>107.55000000000001</v>
      </c>
    </row>
    <row r="12" spans="1:44" x14ac:dyDescent="0.2">
      <c r="A12" s="3">
        <v>5</v>
      </c>
      <c r="B12" s="3" t="s">
        <v>29</v>
      </c>
      <c r="C12" s="3" t="s">
        <v>24</v>
      </c>
      <c r="D12" s="3">
        <v>0.25</v>
      </c>
      <c r="E12" s="3" t="s">
        <v>30</v>
      </c>
      <c r="F12" s="4">
        <v>364.75</v>
      </c>
      <c r="G12" s="4">
        <v>222.5</v>
      </c>
      <c r="H12" s="4">
        <v>142.25</v>
      </c>
      <c r="I12" s="4">
        <v>221</v>
      </c>
      <c r="J12" s="4">
        <v>37.5</v>
      </c>
      <c r="K12" s="4">
        <v>0</v>
      </c>
      <c r="L12" s="4">
        <v>0</v>
      </c>
      <c r="M12" s="4">
        <v>26.25</v>
      </c>
      <c r="N12" s="4">
        <v>148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174.25</v>
      </c>
      <c r="Z12" s="4">
        <v>8</v>
      </c>
      <c r="AA12" s="4">
        <v>0</v>
      </c>
      <c r="AB12" s="4">
        <v>0</v>
      </c>
      <c r="AC12" s="4">
        <v>26.25</v>
      </c>
      <c r="AD12" s="4">
        <v>140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10">
        <f t="shared" si="0"/>
        <v>221</v>
      </c>
      <c r="AP12" s="10">
        <f t="shared" si="1"/>
        <v>211.75</v>
      </c>
      <c r="AQ12" s="1">
        <f t="shared" si="2"/>
        <v>432.75</v>
      </c>
      <c r="AR12" s="1">
        <f t="shared" si="3"/>
        <v>68</v>
      </c>
    </row>
    <row r="13" spans="1:44" x14ac:dyDescent="0.2">
      <c r="A13" s="3">
        <v>6</v>
      </c>
      <c r="B13" s="3" t="s">
        <v>31</v>
      </c>
      <c r="C13" s="3" t="s">
        <v>32</v>
      </c>
      <c r="D13" s="3">
        <v>0.5</v>
      </c>
      <c r="E13" s="3" t="s">
        <v>33</v>
      </c>
      <c r="F13" s="4">
        <v>729.5</v>
      </c>
      <c r="G13" s="4">
        <v>445</v>
      </c>
      <c r="H13" s="4">
        <v>284.5</v>
      </c>
      <c r="I13" s="4">
        <v>445</v>
      </c>
      <c r="J13" s="4">
        <v>100</v>
      </c>
      <c r="K13" s="4">
        <v>16</v>
      </c>
      <c r="L13" s="4">
        <v>0</v>
      </c>
      <c r="M13" s="4">
        <v>25</v>
      </c>
      <c r="N13" s="4">
        <v>28</v>
      </c>
      <c r="O13" s="4">
        <v>90</v>
      </c>
      <c r="P13" s="4">
        <v>17.899999999999999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276.89999999999998</v>
      </c>
      <c r="Z13" s="4">
        <v>100</v>
      </c>
      <c r="AA13" s="4">
        <v>16</v>
      </c>
      <c r="AB13" s="4">
        <v>0</v>
      </c>
      <c r="AC13" s="4">
        <v>25</v>
      </c>
      <c r="AD13" s="4">
        <v>28</v>
      </c>
      <c r="AE13" s="4">
        <v>90</v>
      </c>
      <c r="AF13" s="4">
        <v>17.899999999999999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10">
        <f t="shared" si="0"/>
        <v>445</v>
      </c>
      <c r="AP13" s="10">
        <f t="shared" si="1"/>
        <v>276.89999999999998</v>
      </c>
      <c r="AQ13" s="1">
        <f t="shared" si="2"/>
        <v>721.9</v>
      </c>
      <c r="AR13" s="1">
        <f t="shared" si="3"/>
        <v>-7.6000000000000227</v>
      </c>
    </row>
    <row r="14" spans="1:44" x14ac:dyDescent="0.2">
      <c r="A14" s="3">
        <v>7</v>
      </c>
      <c r="B14" s="3" t="s">
        <v>34</v>
      </c>
      <c r="C14" s="3" t="s">
        <v>27</v>
      </c>
      <c r="D14" s="3">
        <v>0.5</v>
      </c>
      <c r="E14" s="3" t="s">
        <v>33</v>
      </c>
      <c r="F14" s="4">
        <v>729.5</v>
      </c>
      <c r="G14" s="4">
        <v>445</v>
      </c>
      <c r="H14" s="4">
        <v>284.5</v>
      </c>
      <c r="I14" s="4">
        <v>445</v>
      </c>
      <c r="J14" s="4">
        <v>101</v>
      </c>
      <c r="K14" s="4">
        <v>10</v>
      </c>
      <c r="L14" s="4">
        <v>0</v>
      </c>
      <c r="M14" s="4">
        <v>0</v>
      </c>
      <c r="N14" s="4">
        <v>179</v>
      </c>
      <c r="O14" s="4">
        <v>0</v>
      </c>
      <c r="P14" s="4">
        <v>17.899999999999999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307.89999999999998</v>
      </c>
      <c r="Z14" s="4">
        <v>101</v>
      </c>
      <c r="AA14" s="4">
        <v>10</v>
      </c>
      <c r="AB14" s="4">
        <v>0</v>
      </c>
      <c r="AC14" s="4">
        <v>0</v>
      </c>
      <c r="AD14" s="4">
        <v>179</v>
      </c>
      <c r="AE14" s="4">
        <v>0</v>
      </c>
      <c r="AF14" s="4">
        <v>17.899999999999999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10">
        <f t="shared" si="0"/>
        <v>445</v>
      </c>
      <c r="AP14" s="10">
        <f t="shared" si="1"/>
        <v>307.89999999999998</v>
      </c>
      <c r="AQ14" s="1">
        <f t="shared" si="2"/>
        <v>752.9</v>
      </c>
      <c r="AR14" s="1">
        <f t="shared" si="3"/>
        <v>23.399999999999977</v>
      </c>
    </row>
    <row r="15" spans="1:44" x14ac:dyDescent="0.2">
      <c r="A15" s="3">
        <v>8</v>
      </c>
      <c r="B15" s="3" t="s">
        <v>35</v>
      </c>
      <c r="C15" s="3" t="s">
        <v>36</v>
      </c>
      <c r="D15" s="3">
        <v>0.25</v>
      </c>
      <c r="E15" s="3" t="s">
        <v>33</v>
      </c>
      <c r="F15" s="4">
        <v>364.75</v>
      </c>
      <c r="G15" s="4">
        <v>222.5</v>
      </c>
      <c r="H15" s="4">
        <v>142.25</v>
      </c>
      <c r="I15" s="4">
        <v>180</v>
      </c>
      <c r="J15" s="4">
        <v>36</v>
      </c>
      <c r="K15" s="4">
        <v>6</v>
      </c>
      <c r="L15" s="4">
        <v>0</v>
      </c>
      <c r="M15" s="4">
        <v>0</v>
      </c>
      <c r="N15" s="4">
        <v>133</v>
      </c>
      <c r="O15" s="4">
        <v>0</v>
      </c>
      <c r="P15" s="4">
        <v>9.18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184.18</v>
      </c>
      <c r="Z15" s="4">
        <v>36</v>
      </c>
      <c r="AA15" s="4">
        <v>6</v>
      </c>
      <c r="AB15" s="4">
        <v>0</v>
      </c>
      <c r="AC15" s="4">
        <v>0</v>
      </c>
      <c r="AD15" s="4">
        <v>133</v>
      </c>
      <c r="AE15" s="4">
        <v>0</v>
      </c>
      <c r="AF15" s="4">
        <v>9.18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10">
        <f t="shared" si="0"/>
        <v>180</v>
      </c>
      <c r="AP15" s="10">
        <f t="shared" si="1"/>
        <v>184.18</v>
      </c>
      <c r="AQ15" s="1">
        <f t="shared" si="2"/>
        <v>364.18</v>
      </c>
      <c r="AR15" s="1">
        <f t="shared" si="3"/>
        <v>-0.56999999999999318</v>
      </c>
    </row>
    <row r="16" spans="1:44" x14ac:dyDescent="0.2">
      <c r="A16" s="3">
        <v>9</v>
      </c>
      <c r="B16" s="3" t="s">
        <v>37</v>
      </c>
      <c r="C16" s="3" t="s">
        <v>32</v>
      </c>
      <c r="D16" s="3">
        <v>1</v>
      </c>
      <c r="E16" s="3" t="s">
        <v>33</v>
      </c>
      <c r="F16" s="4">
        <v>1459</v>
      </c>
      <c r="G16" s="4">
        <v>890</v>
      </c>
      <c r="H16" s="4">
        <v>569</v>
      </c>
      <c r="I16" s="4">
        <v>890</v>
      </c>
      <c r="J16" s="4">
        <v>202.5</v>
      </c>
      <c r="K16" s="4">
        <v>14</v>
      </c>
      <c r="L16" s="4">
        <v>0</v>
      </c>
      <c r="M16" s="4">
        <v>75</v>
      </c>
      <c r="N16" s="4">
        <v>58</v>
      </c>
      <c r="O16" s="4">
        <v>180</v>
      </c>
      <c r="P16" s="4">
        <v>35.340000000000003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564.84</v>
      </c>
      <c r="Z16" s="4">
        <v>202.5</v>
      </c>
      <c r="AA16" s="4">
        <v>14</v>
      </c>
      <c r="AB16" s="4">
        <v>0</v>
      </c>
      <c r="AC16" s="4">
        <v>75</v>
      </c>
      <c r="AD16" s="4">
        <v>58</v>
      </c>
      <c r="AE16" s="4">
        <v>180</v>
      </c>
      <c r="AF16" s="4">
        <v>35.340000000000003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10">
        <f t="shared" si="0"/>
        <v>890</v>
      </c>
      <c r="AP16" s="10">
        <f t="shared" si="1"/>
        <v>564.84</v>
      </c>
      <c r="AQ16" s="1">
        <f t="shared" si="2"/>
        <v>1454.8400000000001</v>
      </c>
      <c r="AR16" s="1">
        <f t="shared" si="3"/>
        <v>-4.1599999999998545</v>
      </c>
    </row>
    <row r="17" spans="1:44" x14ac:dyDescent="0.2">
      <c r="A17" s="3">
        <v>10</v>
      </c>
      <c r="B17" s="3" t="s">
        <v>38</v>
      </c>
      <c r="C17" s="3" t="s">
        <v>27</v>
      </c>
      <c r="D17" s="3">
        <v>1</v>
      </c>
      <c r="E17" s="3" t="s">
        <v>33</v>
      </c>
      <c r="F17" s="4">
        <v>1459</v>
      </c>
      <c r="G17" s="4">
        <v>890</v>
      </c>
      <c r="H17" s="4">
        <v>569</v>
      </c>
      <c r="I17" s="4">
        <v>888</v>
      </c>
      <c r="J17" s="4">
        <v>191</v>
      </c>
      <c r="K17" s="4">
        <v>4</v>
      </c>
      <c r="L17" s="4">
        <v>0</v>
      </c>
      <c r="M17" s="4">
        <v>160</v>
      </c>
      <c r="N17" s="4">
        <v>108</v>
      </c>
      <c r="O17" s="4">
        <v>72</v>
      </c>
      <c r="P17" s="4">
        <v>35.340000000000003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570.34</v>
      </c>
      <c r="Z17" s="4">
        <v>191</v>
      </c>
      <c r="AA17" s="4">
        <v>4</v>
      </c>
      <c r="AB17" s="4">
        <v>0</v>
      </c>
      <c r="AC17" s="4">
        <v>160</v>
      </c>
      <c r="AD17" s="4">
        <v>108</v>
      </c>
      <c r="AE17" s="4">
        <v>72</v>
      </c>
      <c r="AF17" s="4">
        <v>35.340000000000003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10">
        <f t="shared" si="0"/>
        <v>888</v>
      </c>
      <c r="AP17" s="10">
        <f t="shared" si="1"/>
        <v>570.34</v>
      </c>
      <c r="AQ17" s="1">
        <f t="shared" si="2"/>
        <v>1458.3400000000001</v>
      </c>
      <c r="AR17" s="1">
        <f t="shared" si="3"/>
        <v>-0.65999999999985448</v>
      </c>
    </row>
    <row r="18" spans="1:44" x14ac:dyDescent="0.2">
      <c r="A18" s="3">
        <v>11</v>
      </c>
      <c r="B18" s="3" t="s">
        <v>39</v>
      </c>
      <c r="C18" s="3" t="s">
        <v>32</v>
      </c>
      <c r="D18" s="3">
        <v>0.5</v>
      </c>
      <c r="E18" s="3" t="s">
        <v>33</v>
      </c>
      <c r="F18" s="4">
        <v>729.5</v>
      </c>
      <c r="G18" s="4">
        <v>445</v>
      </c>
      <c r="H18" s="4">
        <v>284.5</v>
      </c>
      <c r="I18" s="4">
        <v>350</v>
      </c>
      <c r="J18" s="4">
        <v>101.25</v>
      </c>
      <c r="K18" s="4">
        <v>18</v>
      </c>
      <c r="L18" s="4">
        <v>0</v>
      </c>
      <c r="M18" s="4">
        <v>50</v>
      </c>
      <c r="N18" s="4">
        <v>152.75</v>
      </c>
      <c r="O18" s="4">
        <v>36</v>
      </c>
      <c r="P18" s="4">
        <v>17.899999999999999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375.9</v>
      </c>
      <c r="Z18" s="4">
        <v>101.25</v>
      </c>
      <c r="AA18" s="4">
        <v>18</v>
      </c>
      <c r="AB18" s="4">
        <v>0</v>
      </c>
      <c r="AC18" s="4">
        <v>50</v>
      </c>
      <c r="AD18" s="4">
        <v>152.75</v>
      </c>
      <c r="AE18" s="4">
        <v>36</v>
      </c>
      <c r="AF18" s="4">
        <v>17.899999999999999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10">
        <f t="shared" si="0"/>
        <v>350</v>
      </c>
      <c r="AP18" s="10">
        <f t="shared" si="1"/>
        <v>375.9</v>
      </c>
      <c r="AQ18" s="1">
        <f t="shared" si="2"/>
        <v>725.9</v>
      </c>
      <c r="AR18" s="1">
        <f t="shared" si="3"/>
        <v>-3.6000000000000227</v>
      </c>
    </row>
    <row r="19" spans="1:44" x14ac:dyDescent="0.2">
      <c r="A19" s="3">
        <v>12</v>
      </c>
      <c r="B19" s="3" t="s">
        <v>40</v>
      </c>
      <c r="C19" s="3" t="s">
        <v>27</v>
      </c>
      <c r="D19" s="3">
        <v>1</v>
      </c>
      <c r="E19" s="3" t="s">
        <v>33</v>
      </c>
      <c r="F19" s="4">
        <v>1459</v>
      </c>
      <c r="G19" s="4">
        <v>890</v>
      </c>
      <c r="H19" s="4">
        <v>569</v>
      </c>
      <c r="I19" s="4">
        <v>887</v>
      </c>
      <c r="J19" s="4">
        <v>122</v>
      </c>
      <c r="K19" s="4">
        <v>26</v>
      </c>
      <c r="L19" s="4">
        <v>0</v>
      </c>
      <c r="M19" s="4">
        <v>65</v>
      </c>
      <c r="N19" s="4">
        <v>28</v>
      </c>
      <c r="O19" s="4">
        <v>295.2</v>
      </c>
      <c r="P19" s="4">
        <v>35.340000000000003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571.54</v>
      </c>
      <c r="Z19" s="4">
        <v>122</v>
      </c>
      <c r="AA19" s="4">
        <v>26</v>
      </c>
      <c r="AB19" s="4">
        <v>0</v>
      </c>
      <c r="AC19" s="4">
        <v>65</v>
      </c>
      <c r="AD19" s="4">
        <v>28</v>
      </c>
      <c r="AE19" s="4">
        <v>295.2</v>
      </c>
      <c r="AF19" s="4">
        <v>35.340000000000003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10">
        <f t="shared" si="0"/>
        <v>887</v>
      </c>
      <c r="AP19" s="10">
        <f t="shared" si="1"/>
        <v>571.54000000000008</v>
      </c>
      <c r="AQ19" s="1">
        <f t="shared" si="2"/>
        <v>1458.54</v>
      </c>
      <c r="AR19" s="1">
        <f t="shared" si="3"/>
        <v>-0.46000000000003638</v>
      </c>
    </row>
    <row r="20" spans="1:44" x14ac:dyDescent="0.2">
      <c r="A20" s="3">
        <v>13</v>
      </c>
      <c r="B20" s="3" t="s">
        <v>41</v>
      </c>
      <c r="C20" s="3" t="s">
        <v>32</v>
      </c>
      <c r="D20" s="3">
        <v>0.5</v>
      </c>
      <c r="E20" s="3" t="s">
        <v>33</v>
      </c>
      <c r="F20" s="4">
        <v>729.5</v>
      </c>
      <c r="G20" s="4">
        <v>445</v>
      </c>
      <c r="H20" s="4">
        <v>284.5</v>
      </c>
      <c r="I20" s="4">
        <v>445</v>
      </c>
      <c r="J20" s="4">
        <v>98.5</v>
      </c>
      <c r="K20" s="4">
        <v>0</v>
      </c>
      <c r="L20" s="4">
        <v>0</v>
      </c>
      <c r="M20" s="4">
        <v>0</v>
      </c>
      <c r="N20" s="4">
        <v>108</v>
      </c>
      <c r="O20" s="4">
        <v>16.2</v>
      </c>
      <c r="P20" s="4">
        <v>17.899999999999999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240.6</v>
      </c>
      <c r="Z20" s="4">
        <v>98.5</v>
      </c>
      <c r="AA20" s="4">
        <v>0</v>
      </c>
      <c r="AB20" s="4">
        <v>0</v>
      </c>
      <c r="AC20" s="4">
        <v>0</v>
      </c>
      <c r="AD20" s="4">
        <v>108</v>
      </c>
      <c r="AE20" s="4">
        <v>16.2</v>
      </c>
      <c r="AF20" s="4">
        <v>17.899999999999999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10">
        <f t="shared" si="0"/>
        <v>445</v>
      </c>
      <c r="AP20" s="10">
        <f t="shared" si="1"/>
        <v>240.6</v>
      </c>
      <c r="AQ20" s="1">
        <f t="shared" si="2"/>
        <v>685.6</v>
      </c>
      <c r="AR20" s="1">
        <f t="shared" si="3"/>
        <v>-43.899999999999977</v>
      </c>
    </row>
    <row r="21" spans="1:44" x14ac:dyDescent="0.2">
      <c r="A21" s="3">
        <v>14</v>
      </c>
      <c r="B21" s="3" t="s">
        <v>42</v>
      </c>
      <c r="C21" s="3" t="s">
        <v>27</v>
      </c>
      <c r="D21" s="3">
        <v>1</v>
      </c>
      <c r="E21" s="3" t="s">
        <v>33</v>
      </c>
      <c r="F21" s="4">
        <v>1459</v>
      </c>
      <c r="G21" s="4">
        <v>890</v>
      </c>
      <c r="H21" s="4">
        <v>569</v>
      </c>
      <c r="I21" s="4">
        <v>889.5</v>
      </c>
      <c r="J21" s="4">
        <v>251</v>
      </c>
      <c r="K21" s="4">
        <v>52</v>
      </c>
      <c r="L21" s="4">
        <v>0</v>
      </c>
      <c r="M21" s="4">
        <v>90</v>
      </c>
      <c r="N21" s="4">
        <v>68.5</v>
      </c>
      <c r="O21" s="4">
        <v>72</v>
      </c>
      <c r="P21" s="4">
        <v>35.340000000000003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568.84</v>
      </c>
      <c r="Z21" s="4">
        <v>251</v>
      </c>
      <c r="AA21" s="4">
        <v>52</v>
      </c>
      <c r="AB21" s="4">
        <v>0</v>
      </c>
      <c r="AC21" s="4">
        <v>90</v>
      </c>
      <c r="AD21" s="4">
        <v>68.5</v>
      </c>
      <c r="AE21" s="4">
        <v>72</v>
      </c>
      <c r="AF21" s="4">
        <v>35.340000000000003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10">
        <f t="shared" si="0"/>
        <v>889.5</v>
      </c>
      <c r="AP21" s="10">
        <f t="shared" si="1"/>
        <v>568.84</v>
      </c>
      <c r="AQ21" s="1">
        <f t="shared" si="2"/>
        <v>1458.3400000000001</v>
      </c>
      <c r="AR21" s="1">
        <f t="shared" si="3"/>
        <v>-0.65999999999985448</v>
      </c>
    </row>
    <row r="22" spans="1:44" x14ac:dyDescent="0.2">
      <c r="A22" s="3">
        <v>15</v>
      </c>
      <c r="B22" s="3" t="s">
        <v>43</v>
      </c>
      <c r="C22" s="3" t="s">
        <v>27</v>
      </c>
      <c r="D22" s="3">
        <v>1</v>
      </c>
      <c r="E22" s="3" t="s">
        <v>33</v>
      </c>
      <c r="F22" s="4">
        <v>1459</v>
      </c>
      <c r="G22" s="4">
        <v>890</v>
      </c>
      <c r="H22" s="4">
        <v>569</v>
      </c>
      <c r="I22" s="4">
        <v>889</v>
      </c>
      <c r="J22" s="4">
        <v>244</v>
      </c>
      <c r="K22" s="4">
        <v>22</v>
      </c>
      <c r="L22" s="4">
        <v>0</v>
      </c>
      <c r="M22" s="4">
        <v>20</v>
      </c>
      <c r="N22" s="4">
        <v>103</v>
      </c>
      <c r="O22" s="4">
        <v>144</v>
      </c>
      <c r="P22" s="4">
        <v>35.340000000000003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568.34</v>
      </c>
      <c r="Z22" s="4">
        <v>244</v>
      </c>
      <c r="AA22" s="4">
        <v>22</v>
      </c>
      <c r="AB22" s="4">
        <v>0</v>
      </c>
      <c r="AC22" s="4">
        <v>20</v>
      </c>
      <c r="AD22" s="4">
        <v>103</v>
      </c>
      <c r="AE22" s="4">
        <v>144</v>
      </c>
      <c r="AF22" s="4">
        <v>35.340000000000003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10">
        <f t="shared" si="0"/>
        <v>889</v>
      </c>
      <c r="AP22" s="10">
        <f t="shared" si="1"/>
        <v>568.34</v>
      </c>
      <c r="AQ22" s="1">
        <f t="shared" si="2"/>
        <v>1457.3400000000001</v>
      </c>
      <c r="AR22" s="1">
        <f t="shared" si="3"/>
        <v>-1.6599999999998545</v>
      </c>
    </row>
    <row r="23" spans="1:44" x14ac:dyDescent="0.2">
      <c r="A23" s="3">
        <v>16</v>
      </c>
      <c r="B23" s="3" t="s">
        <v>44</v>
      </c>
      <c r="C23" s="3" t="s">
        <v>27</v>
      </c>
      <c r="D23" s="3">
        <v>1.5</v>
      </c>
      <c r="E23" s="3" t="s">
        <v>33</v>
      </c>
      <c r="F23" s="4">
        <v>2188.5</v>
      </c>
      <c r="G23" s="4">
        <v>1335</v>
      </c>
      <c r="H23" s="4">
        <v>853.5</v>
      </c>
      <c r="I23" s="4">
        <v>1335</v>
      </c>
      <c r="J23" s="4">
        <v>303</v>
      </c>
      <c r="K23" s="4">
        <v>172</v>
      </c>
      <c r="L23" s="4">
        <v>0</v>
      </c>
      <c r="M23" s="4">
        <v>55</v>
      </c>
      <c r="N23" s="4">
        <v>128</v>
      </c>
      <c r="O23" s="4">
        <v>144</v>
      </c>
      <c r="P23" s="4">
        <v>50.49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852.49</v>
      </c>
      <c r="Z23" s="4">
        <v>303</v>
      </c>
      <c r="AA23" s="4">
        <v>172</v>
      </c>
      <c r="AB23" s="4">
        <v>0</v>
      </c>
      <c r="AC23" s="4">
        <v>55</v>
      </c>
      <c r="AD23" s="4">
        <v>128</v>
      </c>
      <c r="AE23" s="4">
        <v>144</v>
      </c>
      <c r="AF23" s="4">
        <v>50.49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10">
        <f t="shared" si="0"/>
        <v>1335</v>
      </c>
      <c r="AP23" s="10">
        <f t="shared" si="1"/>
        <v>852.49</v>
      </c>
      <c r="AQ23" s="1">
        <f t="shared" si="2"/>
        <v>2187.4899999999998</v>
      </c>
      <c r="AR23" s="1">
        <f t="shared" si="3"/>
        <v>-1.0100000000002183</v>
      </c>
    </row>
    <row r="24" spans="1:44" x14ac:dyDescent="0.2">
      <c r="A24" s="3">
        <v>17</v>
      </c>
      <c r="B24" s="3" t="s">
        <v>45</v>
      </c>
      <c r="C24" s="3" t="s">
        <v>32</v>
      </c>
      <c r="D24" s="3">
        <v>0.5</v>
      </c>
      <c r="E24" s="3" t="s">
        <v>33</v>
      </c>
      <c r="F24" s="4">
        <v>729.5</v>
      </c>
      <c r="G24" s="4">
        <v>445</v>
      </c>
      <c r="H24" s="4">
        <v>284.5</v>
      </c>
      <c r="I24" s="4">
        <v>445</v>
      </c>
      <c r="J24" s="4">
        <v>97</v>
      </c>
      <c r="K24" s="4">
        <v>30</v>
      </c>
      <c r="L24" s="4">
        <v>0</v>
      </c>
      <c r="M24" s="4">
        <v>0</v>
      </c>
      <c r="N24" s="4">
        <v>47.5</v>
      </c>
      <c r="O24" s="4">
        <v>91.8</v>
      </c>
      <c r="P24" s="4">
        <v>17.899999999999999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284.2</v>
      </c>
      <c r="Z24" s="4">
        <v>97</v>
      </c>
      <c r="AA24" s="4">
        <v>30</v>
      </c>
      <c r="AB24" s="4">
        <v>0</v>
      </c>
      <c r="AC24" s="4">
        <v>0</v>
      </c>
      <c r="AD24" s="4">
        <v>47.5</v>
      </c>
      <c r="AE24" s="4">
        <v>91.8</v>
      </c>
      <c r="AF24" s="4">
        <v>17.899999999999999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10">
        <f t="shared" si="0"/>
        <v>445</v>
      </c>
      <c r="AP24" s="10">
        <f t="shared" si="1"/>
        <v>284.2</v>
      </c>
      <c r="AQ24" s="1">
        <f t="shared" si="2"/>
        <v>729.2</v>
      </c>
      <c r="AR24" s="1">
        <f t="shared" si="3"/>
        <v>-0.29999999999995453</v>
      </c>
    </row>
    <row r="25" spans="1:44" x14ac:dyDescent="0.2">
      <c r="A25" s="3">
        <v>18</v>
      </c>
      <c r="B25" s="3" t="s">
        <v>46</v>
      </c>
      <c r="C25" s="3" t="s">
        <v>27</v>
      </c>
      <c r="D25" s="3">
        <v>1.5</v>
      </c>
      <c r="E25" s="3" t="s">
        <v>33</v>
      </c>
      <c r="F25" s="4">
        <v>2188.5</v>
      </c>
      <c r="G25" s="4">
        <v>1335</v>
      </c>
      <c r="H25" s="4">
        <v>853.5</v>
      </c>
      <c r="I25" s="4">
        <v>1276</v>
      </c>
      <c r="J25" s="4">
        <v>214</v>
      </c>
      <c r="K25" s="4">
        <v>56.2</v>
      </c>
      <c r="L25" s="4">
        <v>0</v>
      </c>
      <c r="M25" s="4">
        <v>120</v>
      </c>
      <c r="N25" s="4">
        <v>567.5</v>
      </c>
      <c r="O25" s="4">
        <v>107.8</v>
      </c>
      <c r="P25" s="4">
        <v>60.5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1126</v>
      </c>
      <c r="Z25" s="4">
        <v>214</v>
      </c>
      <c r="AA25" s="4">
        <v>56.2</v>
      </c>
      <c r="AB25" s="4">
        <v>0</v>
      </c>
      <c r="AC25" s="4">
        <v>120</v>
      </c>
      <c r="AD25" s="4">
        <v>567.5</v>
      </c>
      <c r="AE25" s="4">
        <v>107.8</v>
      </c>
      <c r="AF25" s="4">
        <v>60.5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10">
        <f t="shared" si="0"/>
        <v>1276</v>
      </c>
      <c r="AP25" s="10">
        <f t="shared" si="1"/>
        <v>1126</v>
      </c>
      <c r="AQ25" s="1">
        <f t="shared" si="2"/>
        <v>2402</v>
      </c>
      <c r="AR25" s="1">
        <f t="shared" si="3"/>
        <v>213.5</v>
      </c>
    </row>
    <row r="26" spans="1:44" x14ac:dyDescent="0.2">
      <c r="A26" s="3">
        <v>19</v>
      </c>
      <c r="B26" s="3" t="s">
        <v>47</v>
      </c>
      <c r="C26" s="3" t="s">
        <v>48</v>
      </c>
      <c r="D26" s="3">
        <v>1.5</v>
      </c>
      <c r="E26" s="3" t="s">
        <v>33</v>
      </c>
      <c r="F26" s="4">
        <v>2188.5</v>
      </c>
      <c r="G26" s="4">
        <v>1335</v>
      </c>
      <c r="H26" s="4">
        <v>853.5</v>
      </c>
      <c r="I26" s="4">
        <v>1334</v>
      </c>
      <c r="J26" s="4">
        <v>286.5</v>
      </c>
      <c r="K26" s="4">
        <v>241</v>
      </c>
      <c r="L26" s="4">
        <v>0</v>
      </c>
      <c r="M26" s="4">
        <v>210</v>
      </c>
      <c r="N26" s="4">
        <v>62.5</v>
      </c>
      <c r="O26" s="4">
        <v>0</v>
      </c>
      <c r="P26" s="4">
        <v>54.16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854.16</v>
      </c>
      <c r="Z26" s="4">
        <v>286.5</v>
      </c>
      <c r="AA26" s="4">
        <v>241</v>
      </c>
      <c r="AB26" s="4">
        <v>0</v>
      </c>
      <c r="AC26" s="4">
        <v>210</v>
      </c>
      <c r="AD26" s="4">
        <v>62.5</v>
      </c>
      <c r="AE26" s="4">
        <v>0</v>
      </c>
      <c r="AF26" s="4">
        <v>54.16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10">
        <f t="shared" si="0"/>
        <v>1334</v>
      </c>
      <c r="AP26" s="10">
        <f t="shared" si="1"/>
        <v>854.16</v>
      </c>
      <c r="AQ26" s="1">
        <f t="shared" si="2"/>
        <v>2188.16</v>
      </c>
      <c r="AR26" s="1">
        <f t="shared" si="3"/>
        <v>-0.34000000000014552</v>
      </c>
    </row>
    <row r="27" spans="1:44" x14ac:dyDescent="0.2">
      <c r="A27" s="3">
        <v>20</v>
      </c>
      <c r="B27" s="3" t="s">
        <v>49</v>
      </c>
      <c r="C27" s="3" t="s">
        <v>36</v>
      </c>
      <c r="D27" s="3">
        <v>0.25</v>
      </c>
      <c r="E27" s="3" t="s">
        <v>33</v>
      </c>
      <c r="F27" s="4">
        <v>364.75</v>
      </c>
      <c r="G27" s="4">
        <v>222.5</v>
      </c>
      <c r="H27" s="4">
        <v>142.25</v>
      </c>
      <c r="I27" s="4">
        <v>144</v>
      </c>
      <c r="J27" s="4">
        <v>36</v>
      </c>
      <c r="K27" s="4">
        <v>0</v>
      </c>
      <c r="L27" s="4">
        <v>0</v>
      </c>
      <c r="M27" s="4">
        <v>0</v>
      </c>
      <c r="N27" s="4">
        <v>168</v>
      </c>
      <c r="O27" s="4">
        <v>0</v>
      </c>
      <c r="P27" s="4">
        <v>9.18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213.18</v>
      </c>
      <c r="Z27" s="4">
        <v>36</v>
      </c>
      <c r="AA27" s="4">
        <v>0</v>
      </c>
      <c r="AB27" s="4">
        <v>0</v>
      </c>
      <c r="AC27" s="4">
        <v>0</v>
      </c>
      <c r="AD27" s="4">
        <v>168</v>
      </c>
      <c r="AE27" s="4">
        <v>0</v>
      </c>
      <c r="AF27" s="4">
        <v>9.18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10">
        <f t="shared" si="0"/>
        <v>144</v>
      </c>
      <c r="AP27" s="10">
        <f t="shared" si="1"/>
        <v>213.18</v>
      </c>
      <c r="AQ27" s="1">
        <f t="shared" si="2"/>
        <v>357.18</v>
      </c>
      <c r="AR27" s="1">
        <f t="shared" si="3"/>
        <v>-7.5699999999999932</v>
      </c>
    </row>
    <row r="28" spans="1:44" x14ac:dyDescent="0.2">
      <c r="A28" s="3">
        <v>21</v>
      </c>
      <c r="B28" s="3" t="s">
        <v>50</v>
      </c>
      <c r="C28" s="3" t="s">
        <v>32</v>
      </c>
      <c r="D28" s="3">
        <v>0.25</v>
      </c>
      <c r="E28" s="3" t="s">
        <v>33</v>
      </c>
      <c r="F28" s="4">
        <v>364.75</v>
      </c>
      <c r="G28" s="4">
        <v>222.5</v>
      </c>
      <c r="H28" s="4">
        <v>142.25</v>
      </c>
      <c r="I28" s="4">
        <v>222</v>
      </c>
      <c r="J28" s="4">
        <v>45.5</v>
      </c>
      <c r="K28" s="4">
        <v>4.8</v>
      </c>
      <c r="L28" s="4">
        <v>0</v>
      </c>
      <c r="M28" s="4">
        <v>0</v>
      </c>
      <c r="N28" s="4">
        <v>48.25</v>
      </c>
      <c r="O28" s="4">
        <v>34</v>
      </c>
      <c r="P28" s="4">
        <v>9.18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141.72999999999999</v>
      </c>
      <c r="Z28" s="4">
        <v>45.5</v>
      </c>
      <c r="AA28" s="4">
        <v>4.8</v>
      </c>
      <c r="AB28" s="4">
        <v>0</v>
      </c>
      <c r="AC28" s="4">
        <v>0</v>
      </c>
      <c r="AD28" s="4">
        <v>48.25</v>
      </c>
      <c r="AE28" s="4">
        <v>34</v>
      </c>
      <c r="AF28" s="4">
        <v>9.18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10">
        <f t="shared" si="0"/>
        <v>222</v>
      </c>
      <c r="AP28" s="10">
        <f t="shared" si="1"/>
        <v>141.73000000000002</v>
      </c>
      <c r="AQ28" s="1">
        <f t="shared" si="2"/>
        <v>363.73</v>
      </c>
      <c r="AR28" s="1">
        <f t="shared" si="3"/>
        <v>-1.0199999999999818</v>
      </c>
    </row>
    <row r="29" spans="1:44" x14ac:dyDescent="0.2">
      <c r="A29" s="3">
        <v>22</v>
      </c>
      <c r="B29" s="3" t="s">
        <v>51</v>
      </c>
      <c r="C29" s="3" t="s">
        <v>32</v>
      </c>
      <c r="D29" s="3">
        <v>1</v>
      </c>
      <c r="E29" s="3" t="s">
        <v>52</v>
      </c>
      <c r="F29" s="4">
        <v>1459</v>
      </c>
      <c r="G29" s="4">
        <v>890</v>
      </c>
      <c r="H29" s="4">
        <v>569</v>
      </c>
      <c r="I29" s="4">
        <v>816</v>
      </c>
      <c r="J29" s="4">
        <v>161.5</v>
      </c>
      <c r="K29" s="4">
        <v>81</v>
      </c>
      <c r="L29" s="4">
        <v>0</v>
      </c>
      <c r="M29" s="4">
        <v>0</v>
      </c>
      <c r="N29" s="4">
        <v>58</v>
      </c>
      <c r="O29" s="4">
        <v>1090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1191</v>
      </c>
      <c r="Z29" s="4">
        <v>0</v>
      </c>
      <c r="AA29" s="4">
        <v>73</v>
      </c>
      <c r="AB29" s="4">
        <v>0</v>
      </c>
      <c r="AC29" s="4">
        <v>0</v>
      </c>
      <c r="AD29" s="4">
        <v>28</v>
      </c>
      <c r="AE29" s="4">
        <v>1090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10">
        <f t="shared" si="0"/>
        <v>816</v>
      </c>
      <c r="AP29" s="10">
        <f t="shared" si="1"/>
        <v>1390.5</v>
      </c>
      <c r="AQ29" s="1">
        <f t="shared" si="2"/>
        <v>2206.5</v>
      </c>
      <c r="AR29" s="1">
        <f t="shared" si="3"/>
        <v>747.5</v>
      </c>
    </row>
    <row r="30" spans="1:44" x14ac:dyDescent="0.2">
      <c r="A30" s="3">
        <v>23</v>
      </c>
      <c r="B30" s="3" t="s">
        <v>53</v>
      </c>
      <c r="C30" s="3" t="s">
        <v>27</v>
      </c>
      <c r="D30" s="3">
        <v>1</v>
      </c>
      <c r="E30" s="3" t="s">
        <v>52</v>
      </c>
      <c r="F30" s="4">
        <v>1459</v>
      </c>
      <c r="G30" s="4">
        <v>890</v>
      </c>
      <c r="H30" s="4">
        <v>569</v>
      </c>
      <c r="I30" s="4">
        <v>863</v>
      </c>
      <c r="J30" s="4">
        <v>200.25</v>
      </c>
      <c r="K30" s="4">
        <v>245</v>
      </c>
      <c r="L30" s="4">
        <v>0</v>
      </c>
      <c r="M30" s="4">
        <v>0</v>
      </c>
      <c r="N30" s="4">
        <v>78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310.75</v>
      </c>
      <c r="Z30" s="4">
        <v>7.75</v>
      </c>
      <c r="AA30" s="4">
        <v>245</v>
      </c>
      <c r="AB30" s="4">
        <v>0</v>
      </c>
      <c r="AC30" s="4">
        <v>0</v>
      </c>
      <c r="AD30" s="4">
        <v>58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10">
        <f t="shared" si="0"/>
        <v>863</v>
      </c>
      <c r="AP30" s="10">
        <f t="shared" si="1"/>
        <v>523.25</v>
      </c>
      <c r="AQ30" s="1">
        <f t="shared" si="2"/>
        <v>1386.25</v>
      </c>
      <c r="AR30" s="1">
        <f t="shared" si="3"/>
        <v>-72.75</v>
      </c>
    </row>
    <row r="31" spans="1:44" x14ac:dyDescent="0.2">
      <c r="A31" s="3">
        <v>24</v>
      </c>
      <c r="B31" s="3" t="s">
        <v>54</v>
      </c>
      <c r="C31" s="3" t="s">
        <v>27</v>
      </c>
      <c r="D31" s="3">
        <v>1</v>
      </c>
      <c r="E31" s="3" t="s">
        <v>52</v>
      </c>
      <c r="F31" s="4">
        <v>1459</v>
      </c>
      <c r="G31" s="4">
        <v>890</v>
      </c>
      <c r="H31" s="4">
        <v>569</v>
      </c>
      <c r="I31" s="4">
        <v>364</v>
      </c>
      <c r="J31" s="4">
        <v>85.5</v>
      </c>
      <c r="K31" s="4">
        <v>20</v>
      </c>
      <c r="L31" s="4">
        <v>0</v>
      </c>
      <c r="M31" s="4">
        <v>0</v>
      </c>
      <c r="N31" s="4">
        <v>8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10">
        <f t="shared" si="0"/>
        <v>364</v>
      </c>
      <c r="AP31" s="10">
        <f t="shared" si="1"/>
        <v>113.5</v>
      </c>
      <c r="AQ31" s="1">
        <f t="shared" si="2"/>
        <v>477.5</v>
      </c>
      <c r="AR31" s="1">
        <f t="shared" si="3"/>
        <v>-981.5</v>
      </c>
    </row>
    <row r="32" spans="1:44" x14ac:dyDescent="0.2">
      <c r="A32" s="3">
        <v>25</v>
      </c>
      <c r="B32" s="3" t="s">
        <v>55</v>
      </c>
      <c r="C32" s="3" t="s">
        <v>36</v>
      </c>
      <c r="D32" s="3">
        <v>0.1</v>
      </c>
      <c r="E32" s="3" t="s">
        <v>52</v>
      </c>
      <c r="F32" s="4">
        <v>145.9</v>
      </c>
      <c r="G32" s="4">
        <v>89</v>
      </c>
      <c r="H32" s="4">
        <v>56.9</v>
      </c>
      <c r="I32" s="4">
        <v>89</v>
      </c>
      <c r="J32" s="4">
        <v>18</v>
      </c>
      <c r="K32" s="4">
        <v>24</v>
      </c>
      <c r="L32" s="4">
        <v>0</v>
      </c>
      <c r="M32" s="4">
        <v>0</v>
      </c>
      <c r="N32" s="4">
        <v>35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55</v>
      </c>
      <c r="Z32" s="4">
        <v>0</v>
      </c>
      <c r="AA32" s="4">
        <v>20</v>
      </c>
      <c r="AB32" s="4">
        <v>0</v>
      </c>
      <c r="AC32" s="4">
        <v>0</v>
      </c>
      <c r="AD32" s="4">
        <v>35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10">
        <f t="shared" si="0"/>
        <v>89</v>
      </c>
      <c r="AP32" s="10">
        <f t="shared" si="1"/>
        <v>77</v>
      </c>
      <c r="AQ32" s="1">
        <f t="shared" si="2"/>
        <v>166</v>
      </c>
      <c r="AR32" s="1">
        <f t="shared" si="3"/>
        <v>20.099999999999994</v>
      </c>
    </row>
    <row r="33" spans="1:44" x14ac:dyDescent="0.2">
      <c r="A33" s="3">
        <v>26</v>
      </c>
      <c r="B33" s="3" t="s">
        <v>56</v>
      </c>
      <c r="C33" s="3" t="s">
        <v>27</v>
      </c>
      <c r="D33" s="3">
        <v>1</v>
      </c>
      <c r="E33" s="3" t="s">
        <v>52</v>
      </c>
      <c r="F33" s="4">
        <v>1459</v>
      </c>
      <c r="G33" s="4">
        <v>890</v>
      </c>
      <c r="H33" s="4">
        <v>569</v>
      </c>
      <c r="I33" s="4">
        <v>849</v>
      </c>
      <c r="J33" s="4">
        <v>193.5</v>
      </c>
      <c r="K33" s="4">
        <v>52</v>
      </c>
      <c r="L33" s="4">
        <v>0</v>
      </c>
      <c r="M33" s="4">
        <v>0</v>
      </c>
      <c r="N33" s="4">
        <v>98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150</v>
      </c>
      <c r="Z33" s="4">
        <v>0</v>
      </c>
      <c r="AA33" s="4">
        <v>52</v>
      </c>
      <c r="AB33" s="4">
        <v>0</v>
      </c>
      <c r="AC33" s="4">
        <v>0</v>
      </c>
      <c r="AD33" s="4">
        <v>98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10">
        <f t="shared" si="0"/>
        <v>849</v>
      </c>
      <c r="AP33" s="10">
        <f t="shared" si="1"/>
        <v>343.5</v>
      </c>
      <c r="AQ33" s="1">
        <f t="shared" si="2"/>
        <v>1192.5</v>
      </c>
      <c r="AR33" s="1">
        <f t="shared" si="3"/>
        <v>-266.5</v>
      </c>
    </row>
    <row r="34" spans="1:44" x14ac:dyDescent="0.2">
      <c r="A34" s="3">
        <v>27</v>
      </c>
      <c r="B34" s="3" t="s">
        <v>57</v>
      </c>
      <c r="C34" s="3" t="s">
        <v>36</v>
      </c>
      <c r="D34" s="3">
        <v>0.1</v>
      </c>
      <c r="E34" s="3" t="s">
        <v>52</v>
      </c>
      <c r="F34" s="4">
        <v>145.9</v>
      </c>
      <c r="G34" s="4">
        <v>89</v>
      </c>
      <c r="H34" s="4">
        <v>56.9</v>
      </c>
      <c r="I34" s="4">
        <v>61.6</v>
      </c>
      <c r="J34" s="4">
        <v>0</v>
      </c>
      <c r="K34" s="4">
        <v>98</v>
      </c>
      <c r="L34" s="4">
        <v>0</v>
      </c>
      <c r="M34" s="4">
        <v>0</v>
      </c>
      <c r="N34" s="4">
        <v>123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131</v>
      </c>
      <c r="Z34" s="4">
        <v>0</v>
      </c>
      <c r="AA34" s="4">
        <v>8</v>
      </c>
      <c r="AB34" s="4">
        <v>0</v>
      </c>
      <c r="AC34" s="4">
        <v>0</v>
      </c>
      <c r="AD34" s="4">
        <v>123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10">
        <f t="shared" si="0"/>
        <v>61.6</v>
      </c>
      <c r="AP34" s="10">
        <f t="shared" si="1"/>
        <v>221</v>
      </c>
      <c r="AQ34" s="1">
        <f t="shared" si="2"/>
        <v>282.60000000000002</v>
      </c>
      <c r="AR34" s="1">
        <f t="shared" si="3"/>
        <v>136.70000000000002</v>
      </c>
    </row>
    <row r="35" spans="1:44" x14ac:dyDescent="0.2">
      <c r="A35" s="3">
        <v>28</v>
      </c>
      <c r="B35" s="3" t="s">
        <v>58</v>
      </c>
      <c r="C35" s="3" t="s">
        <v>48</v>
      </c>
      <c r="D35" s="3">
        <v>1</v>
      </c>
      <c r="E35" s="3" t="s">
        <v>59</v>
      </c>
      <c r="F35" s="4">
        <v>1459</v>
      </c>
      <c r="G35" s="4">
        <v>890</v>
      </c>
      <c r="H35" s="4">
        <v>569</v>
      </c>
      <c r="I35" s="4">
        <v>889</v>
      </c>
      <c r="J35" s="4">
        <v>51</v>
      </c>
      <c r="K35" s="4">
        <v>245</v>
      </c>
      <c r="L35" s="4">
        <v>0</v>
      </c>
      <c r="M35" s="4">
        <v>25</v>
      </c>
      <c r="N35" s="4">
        <v>223</v>
      </c>
      <c r="O35" s="4">
        <v>26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570</v>
      </c>
      <c r="Z35" s="4">
        <v>51</v>
      </c>
      <c r="AA35" s="4">
        <v>245</v>
      </c>
      <c r="AB35" s="4">
        <v>0</v>
      </c>
      <c r="AC35" s="4">
        <v>25</v>
      </c>
      <c r="AD35" s="4">
        <v>223</v>
      </c>
      <c r="AE35" s="4">
        <v>26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10">
        <f t="shared" si="0"/>
        <v>889</v>
      </c>
      <c r="AP35" s="10">
        <f t="shared" si="1"/>
        <v>570</v>
      </c>
      <c r="AQ35" s="1">
        <f t="shared" si="2"/>
        <v>1459</v>
      </c>
      <c r="AR35" s="1">
        <f t="shared" si="3"/>
        <v>0</v>
      </c>
    </row>
    <row r="36" spans="1:44" x14ac:dyDescent="0.2">
      <c r="A36" s="3">
        <v>29</v>
      </c>
      <c r="B36" s="3" t="s">
        <v>60</v>
      </c>
      <c r="C36" s="3" t="s">
        <v>36</v>
      </c>
      <c r="D36" s="3">
        <v>0.25</v>
      </c>
      <c r="E36" s="3" t="s">
        <v>59</v>
      </c>
      <c r="F36" s="4">
        <v>364.75</v>
      </c>
      <c r="G36" s="4">
        <v>222.5</v>
      </c>
      <c r="H36" s="4">
        <v>142.25</v>
      </c>
      <c r="I36" s="4">
        <v>213</v>
      </c>
      <c r="J36" s="4">
        <v>44.5</v>
      </c>
      <c r="K36" s="4">
        <v>110</v>
      </c>
      <c r="L36" s="4">
        <v>0</v>
      </c>
      <c r="M36" s="4">
        <v>0</v>
      </c>
      <c r="N36" s="4">
        <v>48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202.5</v>
      </c>
      <c r="Z36" s="4">
        <v>44.5</v>
      </c>
      <c r="AA36" s="4">
        <v>110</v>
      </c>
      <c r="AB36" s="4">
        <v>0</v>
      </c>
      <c r="AC36" s="4">
        <v>0</v>
      </c>
      <c r="AD36" s="4">
        <v>48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10">
        <f t="shared" si="0"/>
        <v>213</v>
      </c>
      <c r="AP36" s="10">
        <f t="shared" si="1"/>
        <v>202.5</v>
      </c>
      <c r="AQ36" s="1">
        <f t="shared" si="2"/>
        <v>415.5</v>
      </c>
      <c r="AR36" s="1">
        <f t="shared" si="3"/>
        <v>50.75</v>
      </c>
    </row>
    <row r="37" spans="1:44" x14ac:dyDescent="0.2">
      <c r="A37" s="3">
        <v>30</v>
      </c>
      <c r="B37" s="3" t="s">
        <v>61</v>
      </c>
      <c r="C37" s="3" t="s">
        <v>36</v>
      </c>
      <c r="D37" s="3">
        <v>0.5</v>
      </c>
      <c r="E37" s="3" t="s">
        <v>59</v>
      </c>
      <c r="F37" s="4">
        <v>729.5</v>
      </c>
      <c r="G37" s="4">
        <v>445</v>
      </c>
      <c r="H37" s="4">
        <v>284.5</v>
      </c>
      <c r="I37" s="4">
        <v>264</v>
      </c>
      <c r="J37" s="4">
        <v>45.5</v>
      </c>
      <c r="K37" s="4">
        <v>229</v>
      </c>
      <c r="L37" s="4">
        <v>0</v>
      </c>
      <c r="M37" s="4">
        <v>45</v>
      </c>
      <c r="N37" s="4">
        <v>105.5</v>
      </c>
      <c r="O37" s="4">
        <v>40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465</v>
      </c>
      <c r="Z37" s="4">
        <v>45.5</v>
      </c>
      <c r="AA37" s="4">
        <v>229</v>
      </c>
      <c r="AB37" s="4">
        <v>0</v>
      </c>
      <c r="AC37" s="4">
        <v>45</v>
      </c>
      <c r="AD37" s="4">
        <v>105.5</v>
      </c>
      <c r="AE37" s="4">
        <v>40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10">
        <f t="shared" si="0"/>
        <v>264</v>
      </c>
      <c r="AP37" s="10">
        <f t="shared" si="1"/>
        <v>465</v>
      </c>
      <c r="AQ37" s="1">
        <f t="shared" si="2"/>
        <v>729</v>
      </c>
      <c r="AR37" s="1">
        <f t="shared" si="3"/>
        <v>-0.5</v>
      </c>
    </row>
    <row r="38" spans="1:44" x14ac:dyDescent="0.2">
      <c r="A38" s="3">
        <v>31</v>
      </c>
      <c r="B38" s="3" t="s">
        <v>62</v>
      </c>
      <c r="C38" s="3" t="s">
        <v>27</v>
      </c>
      <c r="D38" s="3">
        <v>0.25</v>
      </c>
      <c r="E38" s="3" t="s">
        <v>63</v>
      </c>
      <c r="F38" s="4">
        <v>364.75</v>
      </c>
      <c r="G38" s="4">
        <v>222.5</v>
      </c>
      <c r="H38" s="4">
        <v>142.25</v>
      </c>
      <c r="I38" s="4">
        <v>222</v>
      </c>
      <c r="J38" s="4">
        <v>64.3</v>
      </c>
      <c r="K38" s="4">
        <v>8</v>
      </c>
      <c r="L38" s="4">
        <v>0</v>
      </c>
      <c r="M38" s="4">
        <v>50</v>
      </c>
      <c r="N38" s="4">
        <v>20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94</v>
      </c>
      <c r="Z38" s="4">
        <v>16</v>
      </c>
      <c r="AA38" s="4">
        <v>8</v>
      </c>
      <c r="AB38" s="4">
        <v>0</v>
      </c>
      <c r="AC38" s="4">
        <v>50</v>
      </c>
      <c r="AD38" s="4">
        <v>20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10">
        <f t="shared" si="0"/>
        <v>222</v>
      </c>
      <c r="AP38" s="10">
        <f t="shared" si="1"/>
        <v>142.30000000000001</v>
      </c>
      <c r="AQ38" s="1">
        <f t="shared" si="2"/>
        <v>364.3</v>
      </c>
      <c r="AR38" s="1">
        <f t="shared" si="3"/>
        <v>-0.44999999999998863</v>
      </c>
    </row>
    <row r="39" spans="1:44" x14ac:dyDescent="0.2">
      <c r="A39" s="3">
        <v>32</v>
      </c>
      <c r="B39" s="3" t="s">
        <v>64</v>
      </c>
      <c r="C39" s="3" t="s">
        <v>27</v>
      </c>
      <c r="D39" s="3">
        <v>0.5</v>
      </c>
      <c r="E39" s="3" t="s">
        <v>63</v>
      </c>
      <c r="F39" s="4">
        <v>729.5</v>
      </c>
      <c r="G39" s="4">
        <v>445</v>
      </c>
      <c r="H39" s="4">
        <v>284.5</v>
      </c>
      <c r="I39" s="4">
        <v>432</v>
      </c>
      <c r="J39" s="4">
        <v>67.92</v>
      </c>
      <c r="K39" s="4">
        <v>53</v>
      </c>
      <c r="L39" s="4">
        <v>0</v>
      </c>
      <c r="M39" s="4">
        <v>0</v>
      </c>
      <c r="N39" s="4">
        <v>28</v>
      </c>
      <c r="O39" s="4">
        <v>152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270.42</v>
      </c>
      <c r="Z39" s="4">
        <v>37.42</v>
      </c>
      <c r="AA39" s="4">
        <v>53</v>
      </c>
      <c r="AB39" s="4">
        <v>0</v>
      </c>
      <c r="AC39" s="4">
        <v>0</v>
      </c>
      <c r="AD39" s="4">
        <v>28</v>
      </c>
      <c r="AE39" s="4">
        <v>152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10">
        <f t="shared" si="0"/>
        <v>432</v>
      </c>
      <c r="AP39" s="10">
        <f t="shared" si="1"/>
        <v>300.92</v>
      </c>
      <c r="AQ39" s="1">
        <f t="shared" si="2"/>
        <v>732.92000000000007</v>
      </c>
      <c r="AR39" s="1">
        <f t="shared" si="3"/>
        <v>3.4200000000000728</v>
      </c>
    </row>
    <row r="40" spans="1:44" x14ac:dyDescent="0.2">
      <c r="A40" s="3">
        <v>33</v>
      </c>
      <c r="B40" s="3" t="s">
        <v>65</v>
      </c>
      <c r="C40" s="3" t="s">
        <v>27</v>
      </c>
      <c r="D40" s="3">
        <v>0.5</v>
      </c>
      <c r="E40" s="3" t="s">
        <v>63</v>
      </c>
      <c r="F40" s="4">
        <v>729.5</v>
      </c>
      <c r="G40" s="4">
        <v>445</v>
      </c>
      <c r="H40" s="4">
        <v>284.5</v>
      </c>
      <c r="I40" s="4">
        <v>429</v>
      </c>
      <c r="J40" s="4">
        <v>89.42</v>
      </c>
      <c r="K40" s="4">
        <v>14</v>
      </c>
      <c r="L40" s="4">
        <v>0</v>
      </c>
      <c r="M40" s="4">
        <v>450</v>
      </c>
      <c r="N40" s="4">
        <v>28</v>
      </c>
      <c r="O40" s="4">
        <v>122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235.42</v>
      </c>
      <c r="Z40" s="4">
        <v>21.42</v>
      </c>
      <c r="AA40" s="4">
        <v>14</v>
      </c>
      <c r="AB40" s="4">
        <v>0</v>
      </c>
      <c r="AC40" s="4">
        <v>50</v>
      </c>
      <c r="AD40" s="4">
        <v>28</v>
      </c>
      <c r="AE40" s="4">
        <v>122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10">
        <f t="shared" si="0"/>
        <v>429</v>
      </c>
      <c r="AP40" s="10">
        <f t="shared" si="1"/>
        <v>703.42</v>
      </c>
      <c r="AQ40" s="1">
        <f t="shared" si="2"/>
        <v>1132.42</v>
      </c>
      <c r="AR40" s="1">
        <f t="shared" si="3"/>
        <v>402.92000000000007</v>
      </c>
    </row>
    <row r="41" spans="1:44" x14ac:dyDescent="0.2">
      <c r="A41" s="3">
        <v>34</v>
      </c>
      <c r="B41" s="3" t="s">
        <v>66</v>
      </c>
      <c r="C41" s="3" t="s">
        <v>27</v>
      </c>
      <c r="D41" s="3">
        <v>1</v>
      </c>
      <c r="E41" s="3" t="s">
        <v>63</v>
      </c>
      <c r="F41" s="4">
        <v>1459</v>
      </c>
      <c r="G41" s="4">
        <v>890</v>
      </c>
      <c r="H41" s="4">
        <v>569</v>
      </c>
      <c r="I41" s="4">
        <v>889.88</v>
      </c>
      <c r="J41" s="4">
        <v>281.98</v>
      </c>
      <c r="K41" s="4">
        <v>120</v>
      </c>
      <c r="L41" s="4">
        <v>0</v>
      </c>
      <c r="M41" s="4">
        <v>0</v>
      </c>
      <c r="N41" s="4">
        <v>108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359.98</v>
      </c>
      <c r="Z41" s="4">
        <v>131.97999999999999</v>
      </c>
      <c r="AA41" s="4">
        <v>120</v>
      </c>
      <c r="AB41" s="4">
        <v>0</v>
      </c>
      <c r="AC41" s="4">
        <v>0</v>
      </c>
      <c r="AD41" s="4">
        <v>108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10">
        <f t="shared" si="0"/>
        <v>889.88</v>
      </c>
      <c r="AP41" s="10">
        <f t="shared" si="1"/>
        <v>509.98</v>
      </c>
      <c r="AQ41" s="1">
        <f t="shared" si="2"/>
        <v>1399.8600000000001</v>
      </c>
      <c r="AR41" s="1">
        <f t="shared" si="3"/>
        <v>-59.139999999999873</v>
      </c>
    </row>
    <row r="42" spans="1:44" x14ac:dyDescent="0.2">
      <c r="A42" s="3">
        <v>35</v>
      </c>
      <c r="B42" s="3" t="s">
        <v>67</v>
      </c>
      <c r="C42" s="3" t="s">
        <v>32</v>
      </c>
      <c r="D42" s="3">
        <v>0.5</v>
      </c>
      <c r="E42" s="3" t="s">
        <v>63</v>
      </c>
      <c r="F42" s="4">
        <v>729.5</v>
      </c>
      <c r="G42" s="4">
        <v>445</v>
      </c>
      <c r="H42" s="4">
        <v>284.5</v>
      </c>
      <c r="I42" s="4">
        <v>433</v>
      </c>
      <c r="J42" s="4">
        <v>90.61</v>
      </c>
      <c r="K42" s="4">
        <v>0</v>
      </c>
      <c r="L42" s="4">
        <v>0</v>
      </c>
      <c r="M42" s="4">
        <v>100</v>
      </c>
      <c r="N42" s="4">
        <v>28</v>
      </c>
      <c r="O42" s="4">
        <v>68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209.61</v>
      </c>
      <c r="Z42" s="4">
        <v>13.61</v>
      </c>
      <c r="AA42" s="4">
        <v>0</v>
      </c>
      <c r="AB42" s="4">
        <v>0</v>
      </c>
      <c r="AC42" s="4">
        <v>100</v>
      </c>
      <c r="AD42" s="4">
        <v>28</v>
      </c>
      <c r="AE42" s="4">
        <v>68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10">
        <f t="shared" si="0"/>
        <v>433</v>
      </c>
      <c r="AP42" s="10">
        <f t="shared" si="1"/>
        <v>286.61</v>
      </c>
      <c r="AQ42" s="1">
        <f t="shared" si="2"/>
        <v>719.61</v>
      </c>
      <c r="AR42" s="1">
        <f t="shared" si="3"/>
        <v>-9.8899999999999864</v>
      </c>
    </row>
    <row r="43" spans="1:44" x14ac:dyDescent="0.2">
      <c r="A43" s="3">
        <v>36</v>
      </c>
      <c r="B43" s="3" t="s">
        <v>68</v>
      </c>
      <c r="C43" s="3" t="s">
        <v>27</v>
      </c>
      <c r="D43" s="3">
        <v>0.5</v>
      </c>
      <c r="E43" s="3" t="s">
        <v>63</v>
      </c>
      <c r="F43" s="4">
        <v>729.5</v>
      </c>
      <c r="G43" s="4">
        <v>445</v>
      </c>
      <c r="H43" s="4">
        <v>284.5</v>
      </c>
      <c r="I43" s="4">
        <v>430</v>
      </c>
      <c r="J43" s="4">
        <v>58.03</v>
      </c>
      <c r="K43" s="4">
        <v>0</v>
      </c>
      <c r="L43" s="4">
        <v>0</v>
      </c>
      <c r="M43" s="4">
        <v>80</v>
      </c>
      <c r="N43" s="4">
        <v>28</v>
      </c>
      <c r="O43" s="4">
        <v>144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292.02999999999997</v>
      </c>
      <c r="Z43" s="4">
        <v>40.03</v>
      </c>
      <c r="AA43" s="4">
        <v>0</v>
      </c>
      <c r="AB43" s="4">
        <v>0</v>
      </c>
      <c r="AC43" s="4">
        <v>80</v>
      </c>
      <c r="AD43" s="4">
        <v>28</v>
      </c>
      <c r="AE43" s="4">
        <v>144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10">
        <f t="shared" si="0"/>
        <v>430</v>
      </c>
      <c r="AP43" s="10">
        <f t="shared" si="1"/>
        <v>310.02999999999997</v>
      </c>
      <c r="AQ43" s="1">
        <f t="shared" si="2"/>
        <v>740.03</v>
      </c>
      <c r="AR43" s="1">
        <f t="shared" si="3"/>
        <v>10.529999999999973</v>
      </c>
    </row>
    <row r="44" spans="1:44" x14ac:dyDescent="0.2">
      <c r="A44" s="3">
        <v>37</v>
      </c>
      <c r="B44" s="3" t="s">
        <v>69</v>
      </c>
      <c r="C44" s="3" t="s">
        <v>32</v>
      </c>
      <c r="D44" s="3">
        <v>1.5</v>
      </c>
      <c r="E44" s="3" t="s">
        <v>63</v>
      </c>
      <c r="F44" s="4">
        <v>2188.5</v>
      </c>
      <c r="G44" s="4">
        <v>1335</v>
      </c>
      <c r="H44" s="4">
        <v>853.5</v>
      </c>
      <c r="I44" s="4">
        <v>1319</v>
      </c>
      <c r="J44" s="4">
        <v>197.99</v>
      </c>
      <c r="K44" s="4">
        <v>162</v>
      </c>
      <c r="L44" s="4">
        <v>0</v>
      </c>
      <c r="M44" s="4">
        <v>40</v>
      </c>
      <c r="N44" s="4">
        <v>415</v>
      </c>
      <c r="O44" s="4">
        <v>36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744.99</v>
      </c>
      <c r="Z44" s="4">
        <v>91.99</v>
      </c>
      <c r="AA44" s="4">
        <v>162</v>
      </c>
      <c r="AB44" s="4">
        <v>0</v>
      </c>
      <c r="AC44" s="4">
        <v>40</v>
      </c>
      <c r="AD44" s="4">
        <v>415</v>
      </c>
      <c r="AE44" s="4">
        <v>36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10">
        <f t="shared" si="0"/>
        <v>1319</v>
      </c>
      <c r="AP44" s="10">
        <f t="shared" si="1"/>
        <v>850.99</v>
      </c>
      <c r="AQ44" s="1">
        <f t="shared" si="2"/>
        <v>2169.9899999999998</v>
      </c>
      <c r="AR44" s="1">
        <f t="shared" si="3"/>
        <v>-18.510000000000218</v>
      </c>
    </row>
    <row r="45" spans="1:44" x14ac:dyDescent="0.2">
      <c r="A45" s="3">
        <v>38</v>
      </c>
      <c r="B45" s="3" t="s">
        <v>70</v>
      </c>
      <c r="C45" s="3" t="s">
        <v>27</v>
      </c>
      <c r="D45" s="3">
        <v>0.5</v>
      </c>
      <c r="E45" s="3" t="s">
        <v>63</v>
      </c>
      <c r="F45" s="4">
        <v>729.5</v>
      </c>
      <c r="G45" s="4">
        <v>445</v>
      </c>
      <c r="H45" s="4">
        <v>284.5</v>
      </c>
      <c r="I45" s="4">
        <v>393</v>
      </c>
      <c r="J45" s="4">
        <v>60</v>
      </c>
      <c r="K45" s="4">
        <v>0</v>
      </c>
      <c r="L45" s="4">
        <v>0</v>
      </c>
      <c r="M45" s="4">
        <v>100</v>
      </c>
      <c r="N45" s="4">
        <v>28</v>
      </c>
      <c r="O45" s="4">
        <v>144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296</v>
      </c>
      <c r="Z45" s="4">
        <v>24</v>
      </c>
      <c r="AA45" s="4">
        <v>0</v>
      </c>
      <c r="AB45" s="4">
        <v>0</v>
      </c>
      <c r="AC45" s="4">
        <v>100</v>
      </c>
      <c r="AD45" s="4">
        <v>28</v>
      </c>
      <c r="AE45" s="4">
        <v>144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10">
        <f t="shared" si="0"/>
        <v>393</v>
      </c>
      <c r="AP45" s="10">
        <f t="shared" si="1"/>
        <v>332</v>
      </c>
      <c r="AQ45" s="1">
        <f t="shared" si="2"/>
        <v>725</v>
      </c>
      <c r="AR45" s="1">
        <f t="shared" si="3"/>
        <v>-4.5</v>
      </c>
    </row>
    <row r="46" spans="1:44" x14ac:dyDescent="0.2">
      <c r="A46" s="3">
        <v>39</v>
      </c>
      <c r="B46" s="3" t="s">
        <v>71</v>
      </c>
      <c r="C46" s="3" t="s">
        <v>27</v>
      </c>
      <c r="D46" s="3">
        <v>0.5</v>
      </c>
      <c r="E46" s="3" t="s">
        <v>63</v>
      </c>
      <c r="F46" s="4">
        <v>729.5</v>
      </c>
      <c r="G46" s="4">
        <v>445</v>
      </c>
      <c r="H46" s="4">
        <v>284.5</v>
      </c>
      <c r="I46" s="4">
        <v>266</v>
      </c>
      <c r="J46" s="4">
        <v>90.05</v>
      </c>
      <c r="K46" s="4">
        <v>0</v>
      </c>
      <c r="L46" s="4">
        <v>0</v>
      </c>
      <c r="M46" s="4">
        <v>200</v>
      </c>
      <c r="N46" s="4">
        <v>28</v>
      </c>
      <c r="O46" s="4">
        <v>46.8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364.85</v>
      </c>
      <c r="Z46" s="4">
        <v>90.05</v>
      </c>
      <c r="AA46" s="4">
        <v>0</v>
      </c>
      <c r="AB46" s="4">
        <v>0</v>
      </c>
      <c r="AC46" s="4">
        <v>200</v>
      </c>
      <c r="AD46" s="4">
        <v>28</v>
      </c>
      <c r="AE46" s="4">
        <v>46.8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10">
        <f t="shared" si="0"/>
        <v>266</v>
      </c>
      <c r="AP46" s="10">
        <f t="shared" si="1"/>
        <v>364.85</v>
      </c>
      <c r="AQ46" s="1">
        <f t="shared" si="2"/>
        <v>630.85</v>
      </c>
      <c r="AR46" s="1">
        <f t="shared" si="3"/>
        <v>-98.649999999999977</v>
      </c>
    </row>
    <row r="47" spans="1:44" x14ac:dyDescent="0.2">
      <c r="A47" s="3">
        <v>40</v>
      </c>
      <c r="B47" s="3" t="s">
        <v>72</v>
      </c>
      <c r="C47" s="3" t="s">
        <v>27</v>
      </c>
      <c r="D47" s="3">
        <v>1</v>
      </c>
      <c r="E47" s="3" t="s">
        <v>63</v>
      </c>
      <c r="F47" s="4">
        <v>1459</v>
      </c>
      <c r="G47" s="4">
        <v>890</v>
      </c>
      <c r="H47" s="4">
        <v>569</v>
      </c>
      <c r="I47" s="4">
        <v>858.34</v>
      </c>
      <c r="J47" s="4">
        <v>215.02</v>
      </c>
      <c r="K47" s="4">
        <v>118</v>
      </c>
      <c r="L47" s="4">
        <v>0</v>
      </c>
      <c r="M47" s="4">
        <v>140</v>
      </c>
      <c r="N47" s="4">
        <v>28</v>
      </c>
      <c r="O47" s="4">
        <v>88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496.02</v>
      </c>
      <c r="Z47" s="4">
        <v>122.02</v>
      </c>
      <c r="AA47" s="4">
        <v>118</v>
      </c>
      <c r="AB47" s="4">
        <v>0</v>
      </c>
      <c r="AC47" s="4">
        <v>140</v>
      </c>
      <c r="AD47" s="4">
        <v>28</v>
      </c>
      <c r="AE47" s="4">
        <v>88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10">
        <f t="shared" si="0"/>
        <v>858.34</v>
      </c>
      <c r="AP47" s="10">
        <f t="shared" si="1"/>
        <v>589.02</v>
      </c>
      <c r="AQ47" s="1">
        <f t="shared" si="2"/>
        <v>1447.3600000000001</v>
      </c>
      <c r="AR47" s="1">
        <f t="shared" si="3"/>
        <v>-11.639999999999873</v>
      </c>
    </row>
    <row r="48" spans="1:44" x14ac:dyDescent="0.2">
      <c r="A48" s="3">
        <v>41</v>
      </c>
      <c r="B48" s="3" t="s">
        <v>73</v>
      </c>
      <c r="C48" s="3" t="s">
        <v>27</v>
      </c>
      <c r="D48" s="3">
        <v>0.5</v>
      </c>
      <c r="E48" s="3" t="s">
        <v>63</v>
      </c>
      <c r="F48" s="4">
        <v>729.5</v>
      </c>
      <c r="G48" s="4">
        <v>445</v>
      </c>
      <c r="H48" s="4">
        <v>284.5</v>
      </c>
      <c r="I48" s="4">
        <v>350</v>
      </c>
      <c r="J48" s="4">
        <v>39</v>
      </c>
      <c r="K48" s="4">
        <v>49</v>
      </c>
      <c r="L48" s="4">
        <v>0</v>
      </c>
      <c r="M48" s="4">
        <v>213</v>
      </c>
      <c r="N48" s="4">
        <v>28</v>
      </c>
      <c r="O48" s="4">
        <v>52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362</v>
      </c>
      <c r="Z48" s="4">
        <v>20</v>
      </c>
      <c r="AA48" s="4">
        <v>49</v>
      </c>
      <c r="AB48" s="4">
        <v>0</v>
      </c>
      <c r="AC48" s="4">
        <v>213</v>
      </c>
      <c r="AD48" s="4">
        <v>28</v>
      </c>
      <c r="AE48" s="4">
        <v>52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10">
        <f t="shared" si="0"/>
        <v>350</v>
      </c>
      <c r="AP48" s="10">
        <f t="shared" si="1"/>
        <v>381</v>
      </c>
      <c r="AQ48" s="1">
        <f t="shared" si="2"/>
        <v>731</v>
      </c>
      <c r="AR48" s="1">
        <f t="shared" si="3"/>
        <v>1.5</v>
      </c>
    </row>
    <row r="49" spans="1:44" x14ac:dyDescent="0.2">
      <c r="A49" s="3">
        <v>42</v>
      </c>
      <c r="B49" s="3" t="s">
        <v>74</v>
      </c>
      <c r="C49" s="3" t="s">
        <v>32</v>
      </c>
      <c r="D49" s="3">
        <v>0.5</v>
      </c>
      <c r="E49" s="3" t="s">
        <v>63</v>
      </c>
      <c r="F49" s="4">
        <v>729.5</v>
      </c>
      <c r="G49" s="4">
        <v>445</v>
      </c>
      <c r="H49" s="4">
        <v>284.5</v>
      </c>
      <c r="I49" s="4">
        <v>406</v>
      </c>
      <c r="J49" s="4">
        <v>60</v>
      </c>
      <c r="K49" s="4">
        <v>22</v>
      </c>
      <c r="L49" s="4">
        <v>0</v>
      </c>
      <c r="M49" s="4">
        <v>90</v>
      </c>
      <c r="N49" s="4">
        <v>8</v>
      </c>
      <c r="O49" s="4">
        <v>144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272</v>
      </c>
      <c r="Z49" s="4">
        <v>8</v>
      </c>
      <c r="AA49" s="4">
        <v>22</v>
      </c>
      <c r="AB49" s="4">
        <v>0</v>
      </c>
      <c r="AC49" s="4">
        <v>90</v>
      </c>
      <c r="AD49" s="4">
        <v>8</v>
      </c>
      <c r="AE49" s="4">
        <v>144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10">
        <f t="shared" si="0"/>
        <v>406</v>
      </c>
      <c r="AP49" s="10">
        <f t="shared" si="1"/>
        <v>324</v>
      </c>
      <c r="AQ49" s="1">
        <f t="shared" si="2"/>
        <v>730</v>
      </c>
      <c r="AR49" s="1">
        <f t="shared" si="3"/>
        <v>0.5</v>
      </c>
    </row>
    <row r="50" spans="1:44" x14ac:dyDescent="0.2">
      <c r="A50" s="3">
        <v>43</v>
      </c>
      <c r="B50" s="3" t="s">
        <v>75</v>
      </c>
      <c r="C50" s="3" t="s">
        <v>27</v>
      </c>
      <c r="D50" s="3">
        <v>1.25</v>
      </c>
      <c r="E50" s="3" t="s">
        <v>63</v>
      </c>
      <c r="F50" s="4">
        <v>1823.75</v>
      </c>
      <c r="G50" s="4">
        <v>1112.5</v>
      </c>
      <c r="H50" s="4">
        <v>711.25</v>
      </c>
      <c r="I50" s="4">
        <v>1056.8399999999999</v>
      </c>
      <c r="J50" s="4">
        <v>160.97999999999999</v>
      </c>
      <c r="K50" s="4">
        <v>36</v>
      </c>
      <c r="L50" s="4">
        <v>0</v>
      </c>
      <c r="M50" s="4">
        <v>353</v>
      </c>
      <c r="N50" s="4">
        <v>78</v>
      </c>
      <c r="O50" s="4">
        <v>156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688.98</v>
      </c>
      <c r="Z50" s="4">
        <v>65.98</v>
      </c>
      <c r="AA50" s="4">
        <v>36</v>
      </c>
      <c r="AB50" s="4">
        <v>0</v>
      </c>
      <c r="AC50" s="4">
        <v>353</v>
      </c>
      <c r="AD50" s="4">
        <v>78</v>
      </c>
      <c r="AE50" s="4">
        <v>156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10">
        <f t="shared" si="0"/>
        <v>1056.8399999999999</v>
      </c>
      <c r="AP50" s="10">
        <f t="shared" si="1"/>
        <v>783.98</v>
      </c>
      <c r="AQ50" s="1">
        <f t="shared" si="2"/>
        <v>1840.82</v>
      </c>
      <c r="AR50" s="1">
        <f t="shared" si="3"/>
        <v>17.069999999999936</v>
      </c>
    </row>
    <row r="51" spans="1:44" x14ac:dyDescent="0.2">
      <c r="A51" s="3">
        <v>44</v>
      </c>
      <c r="B51" s="3" t="s">
        <v>76</v>
      </c>
      <c r="C51" s="3" t="s">
        <v>36</v>
      </c>
      <c r="D51" s="3">
        <v>1</v>
      </c>
      <c r="E51" s="3" t="s">
        <v>63</v>
      </c>
      <c r="F51" s="4">
        <v>1459</v>
      </c>
      <c r="G51" s="4">
        <v>890</v>
      </c>
      <c r="H51" s="4">
        <v>569</v>
      </c>
      <c r="I51" s="4">
        <v>864</v>
      </c>
      <c r="J51" s="4">
        <v>127.5</v>
      </c>
      <c r="K51" s="4">
        <v>28</v>
      </c>
      <c r="L51" s="4">
        <v>0</v>
      </c>
      <c r="M51" s="4">
        <v>330</v>
      </c>
      <c r="N51" s="4">
        <v>28</v>
      </c>
      <c r="O51" s="4">
        <v>72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458</v>
      </c>
      <c r="Z51" s="4">
        <v>0</v>
      </c>
      <c r="AA51" s="4">
        <v>28</v>
      </c>
      <c r="AB51" s="4">
        <v>0</v>
      </c>
      <c r="AC51" s="4">
        <v>330</v>
      </c>
      <c r="AD51" s="4">
        <v>28</v>
      </c>
      <c r="AE51" s="4">
        <v>72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10">
        <f t="shared" si="0"/>
        <v>864</v>
      </c>
      <c r="AP51" s="10">
        <f t="shared" si="1"/>
        <v>585.5</v>
      </c>
      <c r="AQ51" s="1">
        <f t="shared" si="2"/>
        <v>1449.5</v>
      </c>
      <c r="AR51" s="1">
        <f t="shared" si="3"/>
        <v>-9.5</v>
      </c>
    </row>
    <row r="52" spans="1:44" x14ac:dyDescent="0.2">
      <c r="A52" s="3">
        <v>45</v>
      </c>
      <c r="B52" s="3" t="s">
        <v>77</v>
      </c>
      <c r="C52" s="3" t="s">
        <v>27</v>
      </c>
      <c r="D52" s="3">
        <v>0.25</v>
      </c>
      <c r="E52" s="3" t="s">
        <v>63</v>
      </c>
      <c r="F52" s="4">
        <v>364.75</v>
      </c>
      <c r="G52" s="4">
        <v>222.5</v>
      </c>
      <c r="H52" s="4">
        <v>142.25</v>
      </c>
      <c r="I52" s="4">
        <v>221.22</v>
      </c>
      <c r="J52" s="4">
        <v>79.63</v>
      </c>
      <c r="K52" s="4">
        <v>52</v>
      </c>
      <c r="L52" s="4">
        <v>0</v>
      </c>
      <c r="M52" s="4">
        <v>0</v>
      </c>
      <c r="N52" s="4">
        <v>28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144.13</v>
      </c>
      <c r="Z52" s="4">
        <v>64.13</v>
      </c>
      <c r="AA52" s="4">
        <v>52</v>
      </c>
      <c r="AB52" s="4">
        <v>0</v>
      </c>
      <c r="AC52" s="4">
        <v>0</v>
      </c>
      <c r="AD52" s="4">
        <v>28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10">
        <f t="shared" si="0"/>
        <v>221.22</v>
      </c>
      <c r="AP52" s="10">
        <f t="shared" si="1"/>
        <v>159.63</v>
      </c>
      <c r="AQ52" s="1">
        <f t="shared" si="2"/>
        <v>380.85</v>
      </c>
      <c r="AR52" s="1">
        <f t="shared" si="3"/>
        <v>16.100000000000023</v>
      </c>
    </row>
    <row r="53" spans="1:44" x14ac:dyDescent="0.2">
      <c r="A53" s="3">
        <v>46</v>
      </c>
      <c r="B53" s="3" t="s">
        <v>78</v>
      </c>
      <c r="C53" s="3" t="s">
        <v>27</v>
      </c>
      <c r="D53" s="3">
        <v>1.25</v>
      </c>
      <c r="E53" s="3" t="s">
        <v>63</v>
      </c>
      <c r="F53" s="4">
        <v>1823.75</v>
      </c>
      <c r="G53" s="4">
        <v>1112.5</v>
      </c>
      <c r="H53" s="4">
        <v>711.25</v>
      </c>
      <c r="I53" s="4">
        <v>1036.52</v>
      </c>
      <c r="J53" s="4">
        <v>196.48</v>
      </c>
      <c r="K53" s="4">
        <v>76</v>
      </c>
      <c r="L53" s="4">
        <v>0</v>
      </c>
      <c r="M53" s="4">
        <v>255</v>
      </c>
      <c r="N53" s="4">
        <v>28</v>
      </c>
      <c r="O53" s="4">
        <v>264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704.98</v>
      </c>
      <c r="Z53" s="4">
        <v>81.98</v>
      </c>
      <c r="AA53" s="4">
        <v>76</v>
      </c>
      <c r="AB53" s="4">
        <v>0</v>
      </c>
      <c r="AC53" s="4">
        <v>255</v>
      </c>
      <c r="AD53" s="4">
        <v>28</v>
      </c>
      <c r="AE53" s="4">
        <v>264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10">
        <f t="shared" si="0"/>
        <v>1036.52</v>
      </c>
      <c r="AP53" s="10">
        <f t="shared" si="1"/>
        <v>819.48</v>
      </c>
      <c r="AQ53" s="1">
        <f t="shared" si="2"/>
        <v>1856</v>
      </c>
      <c r="AR53" s="1">
        <f t="shared" si="3"/>
        <v>32.25</v>
      </c>
    </row>
    <row r="54" spans="1:44" x14ac:dyDescent="0.2">
      <c r="A54" s="3">
        <v>47</v>
      </c>
      <c r="B54" s="3" t="s">
        <v>79</v>
      </c>
      <c r="C54" s="3" t="s">
        <v>27</v>
      </c>
      <c r="D54" s="3">
        <v>0.2</v>
      </c>
      <c r="E54" s="3" t="s">
        <v>63</v>
      </c>
      <c r="F54" s="4">
        <v>291.8</v>
      </c>
      <c r="G54" s="4">
        <v>178</v>
      </c>
      <c r="H54" s="4">
        <v>113.8</v>
      </c>
      <c r="I54" s="4">
        <v>159</v>
      </c>
      <c r="J54" s="4">
        <v>44.02</v>
      </c>
      <c r="K54" s="4">
        <v>0</v>
      </c>
      <c r="L54" s="4">
        <v>0</v>
      </c>
      <c r="M54" s="4">
        <v>50</v>
      </c>
      <c r="N54" s="4">
        <v>28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122.02</v>
      </c>
      <c r="Z54" s="4">
        <v>44.02</v>
      </c>
      <c r="AA54" s="4">
        <v>0</v>
      </c>
      <c r="AB54" s="4">
        <v>0</v>
      </c>
      <c r="AC54" s="4">
        <v>50</v>
      </c>
      <c r="AD54" s="4">
        <v>28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10">
        <f t="shared" si="0"/>
        <v>159</v>
      </c>
      <c r="AP54" s="10">
        <f t="shared" si="1"/>
        <v>122.02000000000001</v>
      </c>
      <c r="AQ54" s="1">
        <f t="shared" si="2"/>
        <v>281.02</v>
      </c>
      <c r="AR54" s="1">
        <f t="shared" si="3"/>
        <v>-10.78000000000003</v>
      </c>
    </row>
    <row r="55" spans="1:44" x14ac:dyDescent="0.2">
      <c r="A55" s="3">
        <v>48</v>
      </c>
      <c r="B55" s="3" t="s">
        <v>80</v>
      </c>
      <c r="C55" s="3" t="s">
        <v>32</v>
      </c>
      <c r="D55" s="3">
        <v>0.5</v>
      </c>
      <c r="E55" s="3" t="s">
        <v>63</v>
      </c>
      <c r="F55" s="4">
        <v>729.5</v>
      </c>
      <c r="G55" s="4">
        <v>445</v>
      </c>
      <c r="H55" s="4">
        <v>284.5</v>
      </c>
      <c r="I55" s="4">
        <v>443.38</v>
      </c>
      <c r="J55" s="4">
        <v>98.5</v>
      </c>
      <c r="K55" s="4">
        <v>26</v>
      </c>
      <c r="L55" s="4">
        <v>0</v>
      </c>
      <c r="M55" s="4">
        <v>50</v>
      </c>
      <c r="N55" s="4">
        <v>28</v>
      </c>
      <c r="O55" s="4">
        <v>124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216</v>
      </c>
      <c r="Z55" s="4">
        <v>16</v>
      </c>
      <c r="AA55" s="4">
        <v>26</v>
      </c>
      <c r="AB55" s="4">
        <v>0</v>
      </c>
      <c r="AC55" s="4">
        <v>50</v>
      </c>
      <c r="AD55" s="4">
        <v>0</v>
      </c>
      <c r="AE55" s="4">
        <v>124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10">
        <f t="shared" si="0"/>
        <v>443.38</v>
      </c>
      <c r="AP55" s="10">
        <f t="shared" si="1"/>
        <v>326.5</v>
      </c>
      <c r="AQ55" s="1">
        <f t="shared" si="2"/>
        <v>769.88</v>
      </c>
      <c r="AR55" s="1">
        <f t="shared" si="3"/>
        <v>40.379999999999995</v>
      </c>
    </row>
    <row r="56" spans="1:44" x14ac:dyDescent="0.2">
      <c r="A56" s="3">
        <v>49</v>
      </c>
      <c r="B56" s="3" t="s">
        <v>81</v>
      </c>
      <c r="C56" s="3" t="s">
        <v>27</v>
      </c>
      <c r="D56" s="3">
        <v>1</v>
      </c>
      <c r="E56" s="3" t="s">
        <v>82</v>
      </c>
      <c r="F56" s="4">
        <v>1459</v>
      </c>
      <c r="G56" s="4">
        <v>890</v>
      </c>
      <c r="H56" s="4">
        <v>569</v>
      </c>
      <c r="I56" s="4">
        <v>890</v>
      </c>
      <c r="J56" s="4">
        <v>163.4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10">
        <f t="shared" si="0"/>
        <v>890</v>
      </c>
      <c r="AP56" s="10">
        <f t="shared" si="1"/>
        <v>163.4</v>
      </c>
      <c r="AQ56" s="1">
        <f t="shared" si="2"/>
        <v>1053.4000000000001</v>
      </c>
      <c r="AR56" s="1">
        <f t="shared" si="3"/>
        <v>-405.59999999999991</v>
      </c>
    </row>
    <row r="57" spans="1:44" x14ac:dyDescent="0.2">
      <c r="A57" s="3">
        <v>50</v>
      </c>
      <c r="B57" s="3" t="s">
        <v>83</v>
      </c>
      <c r="C57" s="3" t="s">
        <v>48</v>
      </c>
      <c r="D57" s="3">
        <v>0.5</v>
      </c>
      <c r="E57" s="3" t="s">
        <v>82</v>
      </c>
      <c r="F57" s="4">
        <v>729.5</v>
      </c>
      <c r="G57" s="4">
        <v>445</v>
      </c>
      <c r="H57" s="4">
        <v>284.5</v>
      </c>
      <c r="I57" s="4">
        <v>433</v>
      </c>
      <c r="J57" s="4">
        <v>95</v>
      </c>
      <c r="K57" s="4">
        <v>22</v>
      </c>
      <c r="L57" s="4">
        <v>0</v>
      </c>
      <c r="M57" s="4">
        <v>0</v>
      </c>
      <c r="N57" s="4">
        <v>28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46</v>
      </c>
      <c r="Z57" s="4">
        <v>0</v>
      </c>
      <c r="AA57" s="4">
        <v>18</v>
      </c>
      <c r="AB57" s="4">
        <v>0</v>
      </c>
      <c r="AC57" s="4">
        <v>0</v>
      </c>
      <c r="AD57" s="4">
        <v>28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10">
        <f t="shared" si="0"/>
        <v>433</v>
      </c>
      <c r="AP57" s="10">
        <f t="shared" si="1"/>
        <v>145</v>
      </c>
      <c r="AQ57" s="1">
        <f t="shared" si="2"/>
        <v>578</v>
      </c>
      <c r="AR57" s="1">
        <f t="shared" si="3"/>
        <v>-151.5</v>
      </c>
    </row>
    <row r="58" spans="1:44" x14ac:dyDescent="0.2">
      <c r="A58" s="3">
        <v>51</v>
      </c>
      <c r="B58" s="3" t="s">
        <v>84</v>
      </c>
      <c r="C58" s="3" t="s">
        <v>36</v>
      </c>
      <c r="D58" s="3">
        <v>0.65</v>
      </c>
      <c r="E58" s="3" t="s">
        <v>82</v>
      </c>
      <c r="F58" s="4">
        <v>948.35</v>
      </c>
      <c r="G58" s="4">
        <v>578.5</v>
      </c>
      <c r="H58" s="4">
        <v>369.85</v>
      </c>
      <c r="I58" s="4">
        <v>577</v>
      </c>
      <c r="J58" s="4">
        <v>129.5</v>
      </c>
      <c r="K58" s="4">
        <v>40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10">
        <f t="shared" si="0"/>
        <v>577</v>
      </c>
      <c r="AP58" s="10">
        <f t="shared" si="1"/>
        <v>169.5</v>
      </c>
      <c r="AQ58" s="1">
        <f t="shared" si="2"/>
        <v>746.5</v>
      </c>
      <c r="AR58" s="1">
        <f t="shared" si="3"/>
        <v>-201.85000000000002</v>
      </c>
    </row>
    <row r="59" spans="1:44" x14ac:dyDescent="0.2">
      <c r="A59" s="3">
        <v>52</v>
      </c>
      <c r="B59" s="3" t="s">
        <v>85</v>
      </c>
      <c r="C59" s="3" t="s">
        <v>27</v>
      </c>
      <c r="D59" s="3">
        <v>1</v>
      </c>
      <c r="E59" s="3" t="s">
        <v>82</v>
      </c>
      <c r="F59" s="4">
        <v>1459</v>
      </c>
      <c r="G59" s="4">
        <v>890</v>
      </c>
      <c r="H59" s="4">
        <v>569</v>
      </c>
      <c r="I59" s="4">
        <v>882.5</v>
      </c>
      <c r="J59" s="4">
        <v>162.5</v>
      </c>
      <c r="K59" s="4">
        <v>41</v>
      </c>
      <c r="L59" s="4">
        <v>0</v>
      </c>
      <c r="M59" s="4">
        <v>0</v>
      </c>
      <c r="N59" s="4">
        <v>40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40</v>
      </c>
      <c r="Z59" s="4">
        <v>0</v>
      </c>
      <c r="AA59" s="4">
        <v>0</v>
      </c>
      <c r="AB59" s="4">
        <v>0</v>
      </c>
      <c r="AC59" s="4">
        <v>0</v>
      </c>
      <c r="AD59" s="4">
        <v>40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10">
        <f t="shared" si="0"/>
        <v>882.5</v>
      </c>
      <c r="AP59" s="10">
        <f t="shared" si="1"/>
        <v>243.5</v>
      </c>
      <c r="AQ59" s="1">
        <f t="shared" si="2"/>
        <v>1126</v>
      </c>
      <c r="AR59" s="1">
        <f t="shared" si="3"/>
        <v>-333</v>
      </c>
    </row>
    <row r="60" spans="1:44" x14ac:dyDescent="0.2">
      <c r="A60" s="3">
        <v>53</v>
      </c>
      <c r="B60" s="3" t="s">
        <v>86</v>
      </c>
      <c r="C60" s="3" t="s">
        <v>27</v>
      </c>
      <c r="D60" s="3">
        <v>1</v>
      </c>
      <c r="E60" s="3" t="s">
        <v>82</v>
      </c>
      <c r="F60" s="4">
        <v>1459</v>
      </c>
      <c r="G60" s="4">
        <v>890</v>
      </c>
      <c r="H60" s="4">
        <v>569</v>
      </c>
      <c r="I60" s="4">
        <v>849.4</v>
      </c>
      <c r="J60" s="4">
        <v>169.8</v>
      </c>
      <c r="K60" s="4">
        <v>8</v>
      </c>
      <c r="L60" s="4">
        <v>0</v>
      </c>
      <c r="M60" s="4">
        <v>0</v>
      </c>
      <c r="N60" s="4">
        <v>24.75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10">
        <f t="shared" si="0"/>
        <v>849.4</v>
      </c>
      <c r="AP60" s="10">
        <f t="shared" si="1"/>
        <v>202.55</v>
      </c>
      <c r="AQ60" s="1">
        <f t="shared" si="2"/>
        <v>1051.95</v>
      </c>
      <c r="AR60" s="1">
        <f t="shared" si="3"/>
        <v>-407.04999999999995</v>
      </c>
    </row>
    <row r="61" spans="1:44" x14ac:dyDescent="0.2">
      <c r="A61" s="3">
        <v>54</v>
      </c>
      <c r="B61" s="3" t="s">
        <v>87</v>
      </c>
      <c r="C61" s="3" t="s">
        <v>27</v>
      </c>
      <c r="D61" s="3">
        <v>1</v>
      </c>
      <c r="E61" s="3" t="s">
        <v>82</v>
      </c>
      <c r="F61" s="4">
        <v>1459</v>
      </c>
      <c r="G61" s="4">
        <v>890</v>
      </c>
      <c r="H61" s="4">
        <v>569</v>
      </c>
      <c r="I61" s="4">
        <v>889.9</v>
      </c>
      <c r="J61" s="4">
        <v>91.3</v>
      </c>
      <c r="K61" s="4">
        <v>2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10">
        <f t="shared" si="0"/>
        <v>889.9</v>
      </c>
      <c r="AP61" s="10">
        <f t="shared" si="1"/>
        <v>93.3</v>
      </c>
      <c r="AQ61" s="1">
        <f t="shared" si="2"/>
        <v>983.19999999999993</v>
      </c>
      <c r="AR61" s="1">
        <f t="shared" si="3"/>
        <v>-475.80000000000007</v>
      </c>
    </row>
    <row r="62" spans="1:44" x14ac:dyDescent="0.2">
      <c r="A62" s="3">
        <v>55</v>
      </c>
      <c r="B62" s="3" t="s">
        <v>88</v>
      </c>
      <c r="C62" s="3" t="s">
        <v>27</v>
      </c>
      <c r="D62" s="3">
        <v>0.2</v>
      </c>
      <c r="E62" s="3" t="s">
        <v>82</v>
      </c>
      <c r="F62" s="4">
        <v>291.8</v>
      </c>
      <c r="G62" s="4">
        <v>178</v>
      </c>
      <c r="H62" s="4">
        <v>113.8</v>
      </c>
      <c r="I62" s="4">
        <v>124</v>
      </c>
      <c r="J62" s="4">
        <v>25.8</v>
      </c>
      <c r="K62" s="4">
        <v>0</v>
      </c>
      <c r="L62" s="4">
        <v>0</v>
      </c>
      <c r="M62" s="4">
        <v>0</v>
      </c>
      <c r="N62" s="4">
        <v>52.75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10">
        <f t="shared" si="0"/>
        <v>124</v>
      </c>
      <c r="AP62" s="10">
        <f t="shared" si="1"/>
        <v>78.55</v>
      </c>
      <c r="AQ62" s="1">
        <f t="shared" si="2"/>
        <v>202.55</v>
      </c>
      <c r="AR62" s="1">
        <f t="shared" si="3"/>
        <v>-89.25</v>
      </c>
    </row>
    <row r="63" spans="1:44" x14ac:dyDescent="0.2">
      <c r="A63" s="3">
        <v>56</v>
      </c>
      <c r="B63" s="3" t="s">
        <v>89</v>
      </c>
      <c r="C63" s="3" t="s">
        <v>48</v>
      </c>
      <c r="D63" s="3">
        <v>1</v>
      </c>
      <c r="E63" s="3" t="s">
        <v>82</v>
      </c>
      <c r="F63" s="4">
        <v>1459</v>
      </c>
      <c r="G63" s="4">
        <v>890</v>
      </c>
      <c r="H63" s="4">
        <v>569</v>
      </c>
      <c r="I63" s="4">
        <v>302.05</v>
      </c>
      <c r="J63" s="4">
        <v>27.3</v>
      </c>
      <c r="K63" s="4">
        <v>10</v>
      </c>
      <c r="L63" s="4">
        <v>0</v>
      </c>
      <c r="M63" s="4">
        <v>564</v>
      </c>
      <c r="N63" s="4">
        <v>0</v>
      </c>
      <c r="O63" s="4">
        <v>72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636</v>
      </c>
      <c r="Z63" s="4">
        <v>0</v>
      </c>
      <c r="AA63" s="4">
        <v>0</v>
      </c>
      <c r="AB63" s="4">
        <v>0</v>
      </c>
      <c r="AC63" s="4">
        <v>564</v>
      </c>
      <c r="AD63" s="4">
        <v>0</v>
      </c>
      <c r="AE63" s="4">
        <v>72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10">
        <f t="shared" si="0"/>
        <v>302.05</v>
      </c>
      <c r="AP63" s="10">
        <f t="shared" si="1"/>
        <v>673.3</v>
      </c>
      <c r="AQ63" s="1">
        <f t="shared" si="2"/>
        <v>975.34999999999991</v>
      </c>
      <c r="AR63" s="1">
        <f t="shared" si="3"/>
        <v>-483.65000000000009</v>
      </c>
    </row>
    <row r="64" spans="1:44" x14ac:dyDescent="0.2">
      <c r="A64" s="3">
        <v>57</v>
      </c>
      <c r="B64" s="3" t="s">
        <v>90</v>
      </c>
      <c r="C64" s="3" t="s">
        <v>27</v>
      </c>
      <c r="D64" s="3">
        <v>0.15</v>
      </c>
      <c r="E64" s="3" t="s">
        <v>82</v>
      </c>
      <c r="F64" s="4">
        <v>218.85</v>
      </c>
      <c r="G64" s="4">
        <v>133.5</v>
      </c>
      <c r="H64" s="4">
        <v>85.35</v>
      </c>
      <c r="I64" s="4">
        <v>133.5</v>
      </c>
      <c r="J64" s="4">
        <v>30.6</v>
      </c>
      <c r="K64" s="4">
        <v>12</v>
      </c>
      <c r="L64" s="4">
        <v>0</v>
      </c>
      <c r="M64" s="4">
        <v>0</v>
      </c>
      <c r="N64" s="4">
        <v>0</v>
      </c>
      <c r="O64" s="4">
        <v>36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36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36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10">
        <f t="shared" si="0"/>
        <v>133.5</v>
      </c>
      <c r="AP64" s="10">
        <f t="shared" si="1"/>
        <v>78.599999999999994</v>
      </c>
      <c r="AQ64" s="1">
        <f t="shared" si="2"/>
        <v>212.1</v>
      </c>
      <c r="AR64" s="1">
        <f t="shared" si="3"/>
        <v>-6.75</v>
      </c>
    </row>
    <row r="65" spans="1:44" x14ac:dyDescent="0.2">
      <c r="A65" s="3">
        <v>58</v>
      </c>
      <c r="B65" s="3" t="s">
        <v>91</v>
      </c>
      <c r="C65" s="3" t="s">
        <v>27</v>
      </c>
      <c r="D65" s="3">
        <v>0.2</v>
      </c>
      <c r="E65" s="3" t="s">
        <v>82</v>
      </c>
      <c r="F65" s="4">
        <v>291.8</v>
      </c>
      <c r="G65" s="4">
        <v>178</v>
      </c>
      <c r="H65" s="4">
        <v>113.8</v>
      </c>
      <c r="I65" s="4">
        <v>177</v>
      </c>
      <c r="J65" s="4">
        <v>35.299999999999997</v>
      </c>
      <c r="K65" s="4">
        <v>4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10">
        <f t="shared" si="0"/>
        <v>177</v>
      </c>
      <c r="AP65" s="10">
        <f t="shared" si="1"/>
        <v>39.299999999999997</v>
      </c>
      <c r="AQ65" s="1">
        <f t="shared" si="2"/>
        <v>216.3</v>
      </c>
      <c r="AR65" s="1">
        <f t="shared" si="3"/>
        <v>-75.5</v>
      </c>
    </row>
    <row r="66" spans="1:44" x14ac:dyDescent="0.2">
      <c r="A66" s="3">
        <v>59</v>
      </c>
      <c r="B66" s="3" t="s">
        <v>92</v>
      </c>
      <c r="C66" s="3" t="s">
        <v>32</v>
      </c>
      <c r="D66" s="3">
        <v>0.1</v>
      </c>
      <c r="E66" s="3" t="s">
        <v>82</v>
      </c>
      <c r="F66" s="4">
        <v>145.9</v>
      </c>
      <c r="G66" s="4">
        <v>89</v>
      </c>
      <c r="H66" s="4">
        <v>56.9</v>
      </c>
      <c r="I66" s="4">
        <v>89</v>
      </c>
      <c r="J66" s="4">
        <v>17.3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10">
        <f t="shared" si="0"/>
        <v>89</v>
      </c>
      <c r="AP66" s="10">
        <f t="shared" si="1"/>
        <v>17.3</v>
      </c>
      <c r="AQ66" s="1">
        <f t="shared" si="2"/>
        <v>106.3</v>
      </c>
      <c r="AR66" s="1">
        <f t="shared" si="3"/>
        <v>-39.600000000000009</v>
      </c>
    </row>
    <row r="67" spans="1:44" x14ac:dyDescent="0.2">
      <c r="A67" s="3">
        <v>60</v>
      </c>
      <c r="B67" s="3" t="s">
        <v>93</v>
      </c>
      <c r="C67" s="3" t="s">
        <v>27</v>
      </c>
      <c r="D67" s="3">
        <v>0.2</v>
      </c>
      <c r="E67" s="3" t="s">
        <v>82</v>
      </c>
      <c r="F67" s="4">
        <v>291.8</v>
      </c>
      <c r="G67" s="4">
        <v>178</v>
      </c>
      <c r="H67" s="4">
        <v>113.8</v>
      </c>
      <c r="I67" s="4">
        <v>178</v>
      </c>
      <c r="J67" s="4">
        <v>28</v>
      </c>
      <c r="K67" s="4">
        <v>8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10">
        <f t="shared" si="0"/>
        <v>178</v>
      </c>
      <c r="AP67" s="10">
        <f t="shared" si="1"/>
        <v>36</v>
      </c>
      <c r="AQ67" s="1">
        <f t="shared" si="2"/>
        <v>214</v>
      </c>
      <c r="AR67" s="1">
        <f t="shared" si="3"/>
        <v>-77.800000000000011</v>
      </c>
    </row>
    <row r="68" spans="1:44" x14ac:dyDescent="0.2">
      <c r="A68" s="3">
        <v>61</v>
      </c>
      <c r="B68" s="3" t="s">
        <v>94</v>
      </c>
      <c r="C68" s="3" t="s">
        <v>36</v>
      </c>
      <c r="D68" s="3">
        <v>0.3</v>
      </c>
      <c r="E68" s="3" t="s">
        <v>82</v>
      </c>
      <c r="F68" s="4">
        <v>437.7</v>
      </c>
      <c r="G68" s="4">
        <v>267</v>
      </c>
      <c r="H68" s="4">
        <v>170.7</v>
      </c>
      <c r="I68" s="4">
        <v>267</v>
      </c>
      <c r="J68" s="4">
        <v>59.8</v>
      </c>
      <c r="K68" s="4">
        <v>14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10">
        <f t="shared" si="0"/>
        <v>267</v>
      </c>
      <c r="AP68" s="10">
        <f t="shared" si="1"/>
        <v>73.8</v>
      </c>
      <c r="AQ68" s="1">
        <f t="shared" si="2"/>
        <v>340.8</v>
      </c>
      <c r="AR68" s="1">
        <f t="shared" si="3"/>
        <v>-96.899999999999977</v>
      </c>
    </row>
    <row r="69" spans="1:44" x14ac:dyDescent="0.2">
      <c r="A69" s="3">
        <v>62</v>
      </c>
      <c r="B69" s="3" t="s">
        <v>95</v>
      </c>
      <c r="C69" s="3" t="s">
        <v>27</v>
      </c>
      <c r="D69" s="3">
        <v>1</v>
      </c>
      <c r="E69" s="3" t="s">
        <v>82</v>
      </c>
      <c r="F69" s="4">
        <v>1459</v>
      </c>
      <c r="G69" s="4">
        <v>890</v>
      </c>
      <c r="H69" s="4">
        <v>569</v>
      </c>
      <c r="I69" s="4">
        <v>661.2</v>
      </c>
      <c r="J69" s="4">
        <v>90.8</v>
      </c>
      <c r="K69" s="4">
        <v>24</v>
      </c>
      <c r="L69" s="4">
        <v>0</v>
      </c>
      <c r="M69" s="4">
        <v>0</v>
      </c>
      <c r="N69" s="4">
        <v>40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16</v>
      </c>
      <c r="Z69" s="4">
        <v>0</v>
      </c>
      <c r="AA69" s="4">
        <v>16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10">
        <f t="shared" si="0"/>
        <v>661.2</v>
      </c>
      <c r="AP69" s="10">
        <f t="shared" si="1"/>
        <v>154.80000000000001</v>
      </c>
      <c r="AQ69" s="1">
        <f t="shared" si="2"/>
        <v>816</v>
      </c>
      <c r="AR69" s="1">
        <f t="shared" si="3"/>
        <v>-643</v>
      </c>
    </row>
    <row r="70" spans="1:44" x14ac:dyDescent="0.2">
      <c r="A70" s="3">
        <v>63</v>
      </c>
      <c r="B70" s="3" t="s">
        <v>96</v>
      </c>
      <c r="C70" s="3" t="s">
        <v>48</v>
      </c>
      <c r="D70" s="3">
        <v>0.1</v>
      </c>
      <c r="E70" s="3" t="s">
        <v>82</v>
      </c>
      <c r="F70" s="4">
        <v>145.9</v>
      </c>
      <c r="G70" s="4">
        <v>89</v>
      </c>
      <c r="H70" s="4">
        <v>56.9</v>
      </c>
      <c r="I70" s="4">
        <v>88</v>
      </c>
      <c r="J70" s="4">
        <v>9</v>
      </c>
      <c r="K70" s="4">
        <v>0</v>
      </c>
      <c r="L70" s="4">
        <v>0</v>
      </c>
      <c r="M70" s="4">
        <v>0</v>
      </c>
      <c r="N70" s="4">
        <v>28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28</v>
      </c>
      <c r="Z70" s="4">
        <v>0</v>
      </c>
      <c r="AA70" s="4">
        <v>0</v>
      </c>
      <c r="AB70" s="4">
        <v>0</v>
      </c>
      <c r="AC70" s="4">
        <v>0</v>
      </c>
      <c r="AD70" s="4">
        <v>28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10">
        <f t="shared" si="0"/>
        <v>88</v>
      </c>
      <c r="AP70" s="10">
        <f t="shared" si="1"/>
        <v>37</v>
      </c>
      <c r="AQ70" s="1">
        <f t="shared" si="2"/>
        <v>125</v>
      </c>
      <c r="AR70" s="1">
        <f t="shared" si="3"/>
        <v>-20.900000000000006</v>
      </c>
    </row>
    <row r="71" spans="1:44" x14ac:dyDescent="0.2">
      <c r="A71" s="3">
        <v>64</v>
      </c>
      <c r="B71" s="3" t="s">
        <v>97</v>
      </c>
      <c r="C71" s="3" t="s">
        <v>32</v>
      </c>
      <c r="D71" s="3">
        <v>0.1</v>
      </c>
      <c r="E71" s="3" t="s">
        <v>82</v>
      </c>
      <c r="F71" s="4">
        <v>145.9</v>
      </c>
      <c r="G71" s="4">
        <v>89</v>
      </c>
      <c r="H71" s="4">
        <v>56.9</v>
      </c>
      <c r="I71" s="4">
        <v>89</v>
      </c>
      <c r="J71" s="4">
        <v>19.8</v>
      </c>
      <c r="K71" s="4">
        <v>18</v>
      </c>
      <c r="L71" s="4">
        <v>0</v>
      </c>
      <c r="M71" s="4">
        <v>0</v>
      </c>
      <c r="N71" s="4">
        <v>8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8</v>
      </c>
      <c r="Z71" s="4">
        <v>0</v>
      </c>
      <c r="AA71" s="4">
        <v>0</v>
      </c>
      <c r="AB71" s="4">
        <v>0</v>
      </c>
      <c r="AC71" s="4">
        <v>0</v>
      </c>
      <c r="AD71" s="4">
        <v>8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10">
        <f t="shared" si="0"/>
        <v>89</v>
      </c>
      <c r="AP71" s="10">
        <f t="shared" si="1"/>
        <v>45.8</v>
      </c>
      <c r="AQ71" s="1">
        <f t="shared" si="2"/>
        <v>134.80000000000001</v>
      </c>
      <c r="AR71" s="1">
        <f t="shared" si="3"/>
        <v>-11.099999999999994</v>
      </c>
    </row>
    <row r="72" spans="1:44" x14ac:dyDescent="0.2">
      <c r="A72" s="3">
        <v>65</v>
      </c>
      <c r="B72" s="3" t="s">
        <v>98</v>
      </c>
      <c r="C72" s="3" t="s">
        <v>27</v>
      </c>
      <c r="D72" s="3">
        <v>1</v>
      </c>
      <c r="E72" s="3" t="s">
        <v>82</v>
      </c>
      <c r="F72" s="4">
        <v>1459</v>
      </c>
      <c r="G72" s="4">
        <v>890</v>
      </c>
      <c r="H72" s="4">
        <v>569</v>
      </c>
      <c r="I72" s="4">
        <v>887</v>
      </c>
      <c r="J72" s="4">
        <v>195.8</v>
      </c>
      <c r="K72" s="4">
        <v>28</v>
      </c>
      <c r="L72" s="4">
        <v>0</v>
      </c>
      <c r="M72" s="4">
        <v>5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6</v>
      </c>
      <c r="Z72" s="4">
        <v>0</v>
      </c>
      <c r="AA72" s="4">
        <v>6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10">
        <f t="shared" si="0"/>
        <v>887</v>
      </c>
      <c r="AP72" s="10">
        <f t="shared" si="1"/>
        <v>228.8</v>
      </c>
      <c r="AQ72" s="1">
        <f t="shared" si="2"/>
        <v>1115.8</v>
      </c>
      <c r="AR72" s="1">
        <f t="shared" si="3"/>
        <v>-343.20000000000005</v>
      </c>
    </row>
    <row r="73" spans="1:44" x14ac:dyDescent="0.2">
      <c r="A73" s="3">
        <v>66</v>
      </c>
      <c r="B73" s="3" t="s">
        <v>99</v>
      </c>
      <c r="C73" s="3" t="s">
        <v>27</v>
      </c>
      <c r="D73" s="3">
        <v>1</v>
      </c>
      <c r="E73" s="3" t="s">
        <v>82</v>
      </c>
      <c r="F73" s="4">
        <v>1459</v>
      </c>
      <c r="G73" s="4">
        <v>890</v>
      </c>
      <c r="H73" s="4">
        <v>569</v>
      </c>
      <c r="I73" s="4">
        <v>889</v>
      </c>
      <c r="J73" s="4">
        <v>165.8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10">
        <f t="shared" si="0"/>
        <v>889</v>
      </c>
      <c r="AP73" s="10">
        <f t="shared" si="1"/>
        <v>165.8</v>
      </c>
      <c r="AQ73" s="1">
        <f t="shared" si="2"/>
        <v>1054.8</v>
      </c>
      <c r="AR73" s="1">
        <f t="shared" si="3"/>
        <v>-404.20000000000005</v>
      </c>
    </row>
    <row r="74" spans="1:44" x14ac:dyDescent="0.2">
      <c r="A74" s="3">
        <v>67</v>
      </c>
      <c r="B74" s="3" t="s">
        <v>100</v>
      </c>
      <c r="C74" s="3" t="s">
        <v>27</v>
      </c>
      <c r="D74" s="3">
        <v>0.1</v>
      </c>
      <c r="E74" s="3" t="s">
        <v>82</v>
      </c>
      <c r="F74" s="4">
        <v>145.9</v>
      </c>
      <c r="G74" s="4">
        <v>89</v>
      </c>
      <c r="H74" s="4">
        <v>56.9</v>
      </c>
      <c r="I74" s="4">
        <v>78</v>
      </c>
      <c r="J74" s="4">
        <v>17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10">
        <f t="shared" ref="AO74:AO137" si="4">I74</f>
        <v>78</v>
      </c>
      <c r="AP74" s="10">
        <f t="shared" ref="AP74:AP137" si="5">SUM(J74:P74)</f>
        <v>17</v>
      </c>
      <c r="AQ74" s="1">
        <f t="shared" ref="AQ74:AQ137" si="6">AO74+AP74</f>
        <v>95</v>
      </c>
      <c r="AR74" s="1">
        <f t="shared" ref="AR74:AR137" si="7">AQ74-F74</f>
        <v>-50.900000000000006</v>
      </c>
    </row>
    <row r="75" spans="1:44" x14ac:dyDescent="0.2">
      <c r="A75" s="3">
        <v>68</v>
      </c>
      <c r="B75" s="3" t="s">
        <v>101</v>
      </c>
      <c r="C75" s="3" t="s">
        <v>27</v>
      </c>
      <c r="D75" s="3">
        <v>0.5</v>
      </c>
      <c r="E75" s="3" t="s">
        <v>82</v>
      </c>
      <c r="F75" s="4">
        <v>729.5</v>
      </c>
      <c r="G75" s="4">
        <v>445</v>
      </c>
      <c r="H75" s="4">
        <v>284.5</v>
      </c>
      <c r="I75" s="4">
        <v>377.5</v>
      </c>
      <c r="J75" s="4">
        <v>58</v>
      </c>
      <c r="K75" s="4">
        <v>4</v>
      </c>
      <c r="L75" s="4">
        <v>0</v>
      </c>
      <c r="M75" s="4">
        <v>0</v>
      </c>
      <c r="N75" s="4">
        <v>24.75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10">
        <f t="shared" si="4"/>
        <v>377.5</v>
      </c>
      <c r="AP75" s="10">
        <f t="shared" si="5"/>
        <v>86.75</v>
      </c>
      <c r="AQ75" s="1">
        <f t="shared" si="6"/>
        <v>464.25</v>
      </c>
      <c r="AR75" s="1">
        <f t="shared" si="7"/>
        <v>-265.25</v>
      </c>
    </row>
    <row r="76" spans="1:44" x14ac:dyDescent="0.2">
      <c r="A76" s="3">
        <v>69</v>
      </c>
      <c r="B76" s="3" t="s">
        <v>102</v>
      </c>
      <c r="C76" s="3" t="s">
        <v>27</v>
      </c>
      <c r="D76" s="3">
        <v>1</v>
      </c>
      <c r="E76" s="3" t="s">
        <v>82</v>
      </c>
      <c r="F76" s="4">
        <v>1459</v>
      </c>
      <c r="G76" s="4">
        <v>890</v>
      </c>
      <c r="H76" s="4">
        <v>569</v>
      </c>
      <c r="I76" s="4">
        <v>780.8</v>
      </c>
      <c r="J76" s="4">
        <v>53.8</v>
      </c>
      <c r="K76" s="4">
        <v>4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10">
        <f t="shared" si="4"/>
        <v>780.8</v>
      </c>
      <c r="AP76" s="10">
        <f t="shared" si="5"/>
        <v>57.8</v>
      </c>
      <c r="AQ76" s="1">
        <f t="shared" si="6"/>
        <v>838.59999999999991</v>
      </c>
      <c r="AR76" s="1">
        <f t="shared" si="7"/>
        <v>-620.40000000000009</v>
      </c>
    </row>
    <row r="77" spans="1:44" x14ac:dyDescent="0.2">
      <c r="A77" s="3">
        <v>70</v>
      </c>
      <c r="B77" s="3" t="s">
        <v>103</v>
      </c>
      <c r="C77" s="3" t="s">
        <v>27</v>
      </c>
      <c r="D77" s="3">
        <v>0.3</v>
      </c>
      <c r="E77" s="3" t="s">
        <v>82</v>
      </c>
      <c r="F77" s="4">
        <v>437.7</v>
      </c>
      <c r="G77" s="4">
        <v>267</v>
      </c>
      <c r="H77" s="4">
        <v>170.7</v>
      </c>
      <c r="I77" s="4">
        <v>266.8</v>
      </c>
      <c r="J77" s="4">
        <v>49.5</v>
      </c>
      <c r="K77" s="4">
        <v>12</v>
      </c>
      <c r="L77" s="4">
        <v>0</v>
      </c>
      <c r="M77" s="4">
        <v>0</v>
      </c>
      <c r="N77" s="4">
        <v>32.75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10</v>
      </c>
      <c r="Z77" s="4">
        <v>0</v>
      </c>
      <c r="AA77" s="4">
        <v>2</v>
      </c>
      <c r="AB77" s="4">
        <v>0</v>
      </c>
      <c r="AC77" s="4">
        <v>0</v>
      </c>
      <c r="AD77" s="4">
        <v>8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10">
        <f t="shared" si="4"/>
        <v>266.8</v>
      </c>
      <c r="AP77" s="10">
        <f t="shared" si="5"/>
        <v>94.25</v>
      </c>
      <c r="AQ77" s="1">
        <f t="shared" si="6"/>
        <v>361.05</v>
      </c>
      <c r="AR77" s="1">
        <f t="shared" si="7"/>
        <v>-76.649999999999977</v>
      </c>
    </row>
    <row r="78" spans="1:44" x14ac:dyDescent="0.2">
      <c r="A78" s="3">
        <v>71</v>
      </c>
      <c r="B78" s="3" t="s">
        <v>104</v>
      </c>
      <c r="C78" s="3" t="s">
        <v>48</v>
      </c>
      <c r="D78" s="3">
        <v>0.4</v>
      </c>
      <c r="E78" s="3" t="s">
        <v>82</v>
      </c>
      <c r="F78" s="4">
        <v>583.6</v>
      </c>
      <c r="G78" s="4">
        <v>356</v>
      </c>
      <c r="H78" s="4">
        <v>227.6</v>
      </c>
      <c r="I78" s="4">
        <v>325.5</v>
      </c>
      <c r="J78" s="4">
        <v>37</v>
      </c>
      <c r="K78" s="4">
        <v>14</v>
      </c>
      <c r="L78" s="4">
        <v>0</v>
      </c>
      <c r="M78" s="4">
        <v>0</v>
      </c>
      <c r="N78" s="4">
        <v>37.25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14.5</v>
      </c>
      <c r="Z78" s="4">
        <v>0</v>
      </c>
      <c r="AA78" s="4">
        <v>2</v>
      </c>
      <c r="AB78" s="4">
        <v>0</v>
      </c>
      <c r="AC78" s="4">
        <v>0</v>
      </c>
      <c r="AD78" s="4">
        <v>12.5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10">
        <f t="shared" si="4"/>
        <v>325.5</v>
      </c>
      <c r="AP78" s="10">
        <f t="shared" si="5"/>
        <v>88.25</v>
      </c>
      <c r="AQ78" s="1">
        <f t="shared" si="6"/>
        <v>413.75</v>
      </c>
      <c r="AR78" s="1">
        <f t="shared" si="7"/>
        <v>-169.85000000000002</v>
      </c>
    </row>
    <row r="79" spans="1:44" x14ac:dyDescent="0.2">
      <c r="A79" s="3">
        <v>72</v>
      </c>
      <c r="B79" s="3" t="s">
        <v>105</v>
      </c>
      <c r="C79" s="3" t="s">
        <v>27</v>
      </c>
      <c r="D79" s="3">
        <v>1</v>
      </c>
      <c r="E79" s="3" t="s">
        <v>82</v>
      </c>
      <c r="F79" s="4">
        <v>1459</v>
      </c>
      <c r="G79" s="4">
        <v>890</v>
      </c>
      <c r="H79" s="4">
        <v>569</v>
      </c>
      <c r="I79" s="4">
        <v>890</v>
      </c>
      <c r="J79" s="4">
        <v>164.5</v>
      </c>
      <c r="K79" s="4">
        <v>4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4</v>
      </c>
      <c r="Z79" s="4">
        <v>0</v>
      </c>
      <c r="AA79" s="4">
        <v>4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10">
        <f t="shared" si="4"/>
        <v>890</v>
      </c>
      <c r="AP79" s="10">
        <f t="shared" si="5"/>
        <v>168.5</v>
      </c>
      <c r="AQ79" s="1">
        <f t="shared" si="6"/>
        <v>1058.5</v>
      </c>
      <c r="AR79" s="1">
        <f t="shared" si="7"/>
        <v>-400.5</v>
      </c>
    </row>
    <row r="80" spans="1:44" x14ac:dyDescent="0.2">
      <c r="A80" s="3">
        <v>73</v>
      </c>
      <c r="B80" s="8" t="s">
        <v>106</v>
      </c>
      <c r="C80" s="3" t="s">
        <v>27</v>
      </c>
      <c r="D80" s="3">
        <v>0.4</v>
      </c>
      <c r="E80" s="3" t="s">
        <v>107</v>
      </c>
      <c r="F80" s="4">
        <v>583.6</v>
      </c>
      <c r="G80" s="4">
        <v>356</v>
      </c>
      <c r="H80" s="4">
        <v>227.6</v>
      </c>
      <c r="I80" s="4">
        <v>331</v>
      </c>
      <c r="J80" s="4">
        <v>35.799999999999997</v>
      </c>
      <c r="K80" s="4">
        <v>45</v>
      </c>
      <c r="L80" s="4">
        <v>0</v>
      </c>
      <c r="M80" s="4">
        <v>90</v>
      </c>
      <c r="N80" s="4">
        <v>66.8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205.8</v>
      </c>
      <c r="Z80" s="4">
        <v>4</v>
      </c>
      <c r="AA80" s="4">
        <v>45</v>
      </c>
      <c r="AB80" s="4">
        <v>0</v>
      </c>
      <c r="AC80" s="4">
        <v>90</v>
      </c>
      <c r="AD80" s="4">
        <v>66.8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10">
        <f t="shared" si="4"/>
        <v>331</v>
      </c>
      <c r="AP80" s="10">
        <f t="shared" si="5"/>
        <v>237.60000000000002</v>
      </c>
      <c r="AQ80" s="1">
        <f t="shared" si="6"/>
        <v>568.6</v>
      </c>
      <c r="AR80" s="1">
        <f t="shared" si="7"/>
        <v>-15</v>
      </c>
    </row>
    <row r="81" spans="1:44" x14ac:dyDescent="0.2">
      <c r="A81" s="3">
        <v>74</v>
      </c>
      <c r="B81" s="8" t="s">
        <v>108</v>
      </c>
      <c r="C81" s="3" t="s">
        <v>27</v>
      </c>
      <c r="D81" s="3">
        <v>0.4</v>
      </c>
      <c r="E81" s="3" t="s">
        <v>107</v>
      </c>
      <c r="F81" s="4">
        <v>583.6</v>
      </c>
      <c r="G81" s="4">
        <v>356</v>
      </c>
      <c r="H81" s="4">
        <v>227.6</v>
      </c>
      <c r="I81" s="4">
        <v>233</v>
      </c>
      <c r="J81" s="4">
        <v>67</v>
      </c>
      <c r="K81" s="4">
        <v>20</v>
      </c>
      <c r="L81" s="4">
        <v>0</v>
      </c>
      <c r="M81" s="4">
        <v>235.6</v>
      </c>
      <c r="N81" s="4">
        <v>28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297.60000000000002</v>
      </c>
      <c r="Z81" s="4">
        <v>14</v>
      </c>
      <c r="AA81" s="4">
        <v>20</v>
      </c>
      <c r="AB81" s="4">
        <v>0</v>
      </c>
      <c r="AC81" s="4">
        <v>235.6</v>
      </c>
      <c r="AD81" s="4">
        <v>28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10">
        <f t="shared" si="4"/>
        <v>233</v>
      </c>
      <c r="AP81" s="10">
        <f t="shared" si="5"/>
        <v>350.6</v>
      </c>
      <c r="AQ81" s="1">
        <f t="shared" si="6"/>
        <v>583.6</v>
      </c>
      <c r="AR81" s="1">
        <f t="shared" si="7"/>
        <v>0</v>
      </c>
    </row>
    <row r="82" spans="1:44" x14ac:dyDescent="0.2">
      <c r="A82" s="3">
        <v>75</v>
      </c>
      <c r="B82" s="8" t="s">
        <v>109</v>
      </c>
      <c r="C82" s="3" t="s">
        <v>27</v>
      </c>
      <c r="D82" s="3">
        <v>1.4</v>
      </c>
      <c r="E82" s="3" t="s">
        <v>107</v>
      </c>
      <c r="F82" s="4">
        <v>2042.6</v>
      </c>
      <c r="G82" s="4">
        <v>1246</v>
      </c>
      <c r="H82" s="4">
        <v>796.6</v>
      </c>
      <c r="I82" s="4">
        <v>1235.5</v>
      </c>
      <c r="J82" s="4">
        <v>288.99</v>
      </c>
      <c r="K82" s="4">
        <v>286</v>
      </c>
      <c r="L82" s="4">
        <v>0</v>
      </c>
      <c r="M82" s="4">
        <v>0</v>
      </c>
      <c r="N82" s="4">
        <v>203</v>
      </c>
      <c r="O82" s="4">
        <v>1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563.99</v>
      </c>
      <c r="Z82" s="4">
        <v>73.989999999999995</v>
      </c>
      <c r="AA82" s="4">
        <v>286</v>
      </c>
      <c r="AB82" s="4">
        <v>0</v>
      </c>
      <c r="AC82" s="4">
        <v>0</v>
      </c>
      <c r="AD82" s="4">
        <v>203</v>
      </c>
      <c r="AE82" s="4">
        <v>1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10">
        <f t="shared" si="4"/>
        <v>1235.5</v>
      </c>
      <c r="AP82" s="10">
        <f t="shared" si="5"/>
        <v>778.99</v>
      </c>
      <c r="AQ82" s="1">
        <f t="shared" si="6"/>
        <v>2014.49</v>
      </c>
      <c r="AR82" s="1">
        <f t="shared" si="7"/>
        <v>-28.1099999999999</v>
      </c>
    </row>
    <row r="83" spans="1:44" x14ac:dyDescent="0.2">
      <c r="A83" s="3">
        <v>76</v>
      </c>
      <c r="B83" s="8" t="s">
        <v>110</v>
      </c>
      <c r="C83" s="3" t="s">
        <v>24</v>
      </c>
      <c r="D83" s="3">
        <v>1</v>
      </c>
      <c r="E83" s="3" t="s">
        <v>107</v>
      </c>
      <c r="F83" s="4">
        <v>1459</v>
      </c>
      <c r="G83" s="4">
        <v>890</v>
      </c>
      <c r="H83" s="4">
        <v>569</v>
      </c>
      <c r="I83" s="4">
        <v>873.76</v>
      </c>
      <c r="J83" s="4">
        <v>144.5</v>
      </c>
      <c r="K83" s="4">
        <v>118</v>
      </c>
      <c r="L83" s="4">
        <v>0</v>
      </c>
      <c r="M83" s="4">
        <v>70.239999999999995</v>
      </c>
      <c r="N83" s="4">
        <v>628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816.24</v>
      </c>
      <c r="Z83" s="4">
        <v>0</v>
      </c>
      <c r="AA83" s="4">
        <v>118</v>
      </c>
      <c r="AB83" s="4">
        <v>0</v>
      </c>
      <c r="AC83" s="4">
        <v>70.239999999999995</v>
      </c>
      <c r="AD83" s="4">
        <v>628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10">
        <f t="shared" si="4"/>
        <v>873.76</v>
      </c>
      <c r="AP83" s="10">
        <f t="shared" si="5"/>
        <v>960.74</v>
      </c>
      <c r="AQ83" s="1">
        <f t="shared" si="6"/>
        <v>1834.5</v>
      </c>
      <c r="AR83" s="1">
        <f t="shared" si="7"/>
        <v>375.5</v>
      </c>
    </row>
    <row r="84" spans="1:44" x14ac:dyDescent="0.2">
      <c r="A84" s="3">
        <v>77</v>
      </c>
      <c r="B84" s="8" t="s">
        <v>111</v>
      </c>
      <c r="C84" s="3" t="s">
        <v>27</v>
      </c>
      <c r="D84" s="3">
        <v>1.4</v>
      </c>
      <c r="E84" s="3" t="s">
        <v>107</v>
      </c>
      <c r="F84" s="4">
        <v>2042.6</v>
      </c>
      <c r="G84" s="4">
        <v>1246</v>
      </c>
      <c r="H84" s="4">
        <v>796.6</v>
      </c>
      <c r="I84" s="4">
        <v>1085.5</v>
      </c>
      <c r="J84" s="4">
        <v>296</v>
      </c>
      <c r="K84" s="4">
        <v>71</v>
      </c>
      <c r="L84" s="4">
        <v>0</v>
      </c>
      <c r="M84" s="4">
        <v>288</v>
      </c>
      <c r="N84" s="4">
        <v>185.5</v>
      </c>
      <c r="O84" s="4">
        <v>72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707</v>
      </c>
      <c r="Z84" s="4">
        <v>90.5</v>
      </c>
      <c r="AA84" s="4">
        <v>71</v>
      </c>
      <c r="AB84" s="4">
        <v>0</v>
      </c>
      <c r="AC84" s="4">
        <v>288</v>
      </c>
      <c r="AD84" s="4">
        <v>185.5</v>
      </c>
      <c r="AE84" s="4">
        <v>72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10">
        <f t="shared" si="4"/>
        <v>1085.5</v>
      </c>
      <c r="AP84" s="10">
        <f t="shared" si="5"/>
        <v>912.5</v>
      </c>
      <c r="AQ84" s="1">
        <f t="shared" si="6"/>
        <v>1998</v>
      </c>
      <c r="AR84" s="1">
        <f t="shared" si="7"/>
        <v>-44.599999999999909</v>
      </c>
    </row>
    <row r="85" spans="1:44" x14ac:dyDescent="0.2">
      <c r="A85" s="3">
        <v>78</v>
      </c>
      <c r="B85" s="8" t="s">
        <v>112</v>
      </c>
      <c r="C85" s="3" t="s">
        <v>27</v>
      </c>
      <c r="D85" s="3">
        <v>0.5</v>
      </c>
      <c r="E85" s="3" t="s">
        <v>107</v>
      </c>
      <c r="F85" s="4">
        <v>729.5</v>
      </c>
      <c r="G85" s="4">
        <v>445</v>
      </c>
      <c r="H85" s="4">
        <v>284.5</v>
      </c>
      <c r="I85" s="4">
        <v>366</v>
      </c>
      <c r="J85" s="4">
        <v>84.5</v>
      </c>
      <c r="K85" s="4">
        <v>245</v>
      </c>
      <c r="L85" s="4">
        <v>0</v>
      </c>
      <c r="M85" s="4">
        <v>0</v>
      </c>
      <c r="N85" s="4">
        <v>28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279.5</v>
      </c>
      <c r="Z85" s="4">
        <v>6.5</v>
      </c>
      <c r="AA85" s="4">
        <v>245</v>
      </c>
      <c r="AB85" s="4">
        <v>0</v>
      </c>
      <c r="AC85" s="4">
        <v>0</v>
      </c>
      <c r="AD85" s="4">
        <v>28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10">
        <f t="shared" si="4"/>
        <v>366</v>
      </c>
      <c r="AP85" s="10">
        <f t="shared" si="5"/>
        <v>357.5</v>
      </c>
      <c r="AQ85" s="1">
        <f t="shared" si="6"/>
        <v>723.5</v>
      </c>
      <c r="AR85" s="1">
        <f t="shared" si="7"/>
        <v>-6</v>
      </c>
    </row>
    <row r="86" spans="1:44" x14ac:dyDescent="0.2">
      <c r="A86" s="3">
        <v>79</v>
      </c>
      <c r="B86" s="8" t="s">
        <v>113</v>
      </c>
      <c r="C86" s="3" t="s">
        <v>27</v>
      </c>
      <c r="D86" s="3">
        <v>1.4</v>
      </c>
      <c r="E86" s="3" t="s">
        <v>107</v>
      </c>
      <c r="F86" s="4">
        <v>2042.6</v>
      </c>
      <c r="G86" s="4">
        <v>1246</v>
      </c>
      <c r="H86" s="4">
        <v>796.6</v>
      </c>
      <c r="I86" s="4">
        <v>1215</v>
      </c>
      <c r="J86" s="4">
        <v>255.5</v>
      </c>
      <c r="K86" s="4">
        <v>368</v>
      </c>
      <c r="L86" s="4">
        <v>0</v>
      </c>
      <c r="M86" s="4">
        <v>135</v>
      </c>
      <c r="N86" s="4">
        <v>73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632</v>
      </c>
      <c r="Z86" s="4">
        <v>60</v>
      </c>
      <c r="AA86" s="4">
        <v>364</v>
      </c>
      <c r="AB86" s="4">
        <v>0</v>
      </c>
      <c r="AC86" s="4">
        <v>135</v>
      </c>
      <c r="AD86" s="4">
        <v>73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10">
        <f t="shared" si="4"/>
        <v>1215</v>
      </c>
      <c r="AP86" s="10">
        <f t="shared" si="5"/>
        <v>831.5</v>
      </c>
      <c r="AQ86" s="1">
        <f t="shared" si="6"/>
        <v>2046.5</v>
      </c>
      <c r="AR86" s="1">
        <f t="shared" si="7"/>
        <v>3.9000000000000909</v>
      </c>
    </row>
    <row r="87" spans="1:44" x14ac:dyDescent="0.2">
      <c r="A87" s="3">
        <v>80</v>
      </c>
      <c r="B87" s="8" t="s">
        <v>114</v>
      </c>
      <c r="C87" s="3" t="s">
        <v>32</v>
      </c>
      <c r="D87" s="3">
        <v>0.1</v>
      </c>
      <c r="E87" s="3" t="s">
        <v>107</v>
      </c>
      <c r="F87" s="4">
        <v>145.9</v>
      </c>
      <c r="G87" s="4">
        <v>89</v>
      </c>
      <c r="H87" s="4">
        <v>56.9</v>
      </c>
      <c r="I87" s="4">
        <v>88</v>
      </c>
      <c r="J87" s="4">
        <v>110.5</v>
      </c>
      <c r="K87" s="4">
        <v>24</v>
      </c>
      <c r="L87" s="4">
        <v>0</v>
      </c>
      <c r="M87" s="4">
        <v>0</v>
      </c>
      <c r="N87" s="4">
        <v>21.9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45.9</v>
      </c>
      <c r="Z87" s="4">
        <v>0</v>
      </c>
      <c r="AA87" s="4">
        <v>24</v>
      </c>
      <c r="AB87" s="4">
        <v>0</v>
      </c>
      <c r="AC87" s="4">
        <v>0</v>
      </c>
      <c r="AD87" s="4">
        <v>21.9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10">
        <f t="shared" si="4"/>
        <v>88</v>
      </c>
      <c r="AP87" s="10">
        <f t="shared" si="5"/>
        <v>156.4</v>
      </c>
      <c r="AQ87" s="1">
        <f t="shared" si="6"/>
        <v>244.4</v>
      </c>
      <c r="AR87" s="1">
        <f t="shared" si="7"/>
        <v>98.5</v>
      </c>
    </row>
    <row r="88" spans="1:44" x14ac:dyDescent="0.2">
      <c r="A88" s="3">
        <v>81</v>
      </c>
      <c r="B88" s="8" t="s">
        <v>115</v>
      </c>
      <c r="C88" s="3" t="s">
        <v>27</v>
      </c>
      <c r="D88" s="3">
        <v>0.5</v>
      </c>
      <c r="E88" s="3" t="s">
        <v>107</v>
      </c>
      <c r="F88" s="4">
        <v>729.5</v>
      </c>
      <c r="G88" s="4">
        <v>445</v>
      </c>
      <c r="H88" s="4">
        <v>284.5</v>
      </c>
      <c r="I88" s="4">
        <v>309</v>
      </c>
      <c r="J88" s="4">
        <v>106.25</v>
      </c>
      <c r="K88" s="4">
        <v>229</v>
      </c>
      <c r="L88" s="4">
        <v>0</v>
      </c>
      <c r="M88" s="4">
        <v>0</v>
      </c>
      <c r="N88" s="4">
        <v>32.25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302</v>
      </c>
      <c r="Z88" s="4">
        <v>40.75</v>
      </c>
      <c r="AA88" s="4">
        <v>229</v>
      </c>
      <c r="AB88" s="4">
        <v>0</v>
      </c>
      <c r="AC88" s="4">
        <v>0</v>
      </c>
      <c r="AD88" s="4">
        <v>32.25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10">
        <f t="shared" si="4"/>
        <v>309</v>
      </c>
      <c r="AP88" s="10">
        <f t="shared" si="5"/>
        <v>367.5</v>
      </c>
      <c r="AQ88" s="1">
        <f t="shared" si="6"/>
        <v>676.5</v>
      </c>
      <c r="AR88" s="1">
        <f t="shared" si="7"/>
        <v>-53</v>
      </c>
    </row>
    <row r="89" spans="1:44" x14ac:dyDescent="0.2">
      <c r="A89" s="3">
        <v>82</v>
      </c>
      <c r="B89" s="8" t="s">
        <v>116</v>
      </c>
      <c r="C89" s="3" t="s">
        <v>27</v>
      </c>
      <c r="D89" s="3">
        <v>0.25</v>
      </c>
      <c r="E89" s="3" t="s">
        <v>107</v>
      </c>
      <c r="F89" s="4">
        <v>364.75</v>
      </c>
      <c r="G89" s="4">
        <v>222.5</v>
      </c>
      <c r="H89" s="4">
        <v>142.25</v>
      </c>
      <c r="I89" s="4">
        <v>196</v>
      </c>
      <c r="J89" s="4">
        <v>39</v>
      </c>
      <c r="K89" s="4">
        <v>113</v>
      </c>
      <c r="L89" s="4">
        <v>0</v>
      </c>
      <c r="M89" s="4">
        <v>0</v>
      </c>
      <c r="N89" s="4">
        <v>28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147</v>
      </c>
      <c r="Z89" s="4">
        <v>6</v>
      </c>
      <c r="AA89" s="4">
        <v>113</v>
      </c>
      <c r="AB89" s="4">
        <v>0</v>
      </c>
      <c r="AC89" s="4">
        <v>0</v>
      </c>
      <c r="AD89" s="4">
        <v>28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10">
        <f t="shared" si="4"/>
        <v>196</v>
      </c>
      <c r="AP89" s="10">
        <f t="shared" si="5"/>
        <v>180</v>
      </c>
      <c r="AQ89" s="1">
        <f t="shared" si="6"/>
        <v>376</v>
      </c>
      <c r="AR89" s="1">
        <f t="shared" si="7"/>
        <v>11.25</v>
      </c>
    </row>
    <row r="90" spans="1:44" x14ac:dyDescent="0.2">
      <c r="A90" s="3">
        <v>83</v>
      </c>
      <c r="B90" s="8" t="s">
        <v>117</v>
      </c>
      <c r="C90" s="3" t="s">
        <v>48</v>
      </c>
      <c r="D90" s="3">
        <v>0.1</v>
      </c>
      <c r="E90" s="3" t="s">
        <v>107</v>
      </c>
      <c r="F90" s="4">
        <v>145.9</v>
      </c>
      <c r="G90" s="4">
        <v>89</v>
      </c>
      <c r="H90" s="4">
        <v>56.9</v>
      </c>
      <c r="I90" s="4">
        <v>58</v>
      </c>
      <c r="J90" s="4">
        <v>13.5</v>
      </c>
      <c r="K90" s="4">
        <v>4</v>
      </c>
      <c r="L90" s="4">
        <v>0</v>
      </c>
      <c r="M90" s="4">
        <v>0</v>
      </c>
      <c r="N90" s="4">
        <v>70.41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74.41</v>
      </c>
      <c r="Z90" s="4">
        <v>0</v>
      </c>
      <c r="AA90" s="4">
        <v>4</v>
      </c>
      <c r="AB90" s="4">
        <v>0</v>
      </c>
      <c r="AC90" s="4">
        <v>0</v>
      </c>
      <c r="AD90" s="4">
        <v>70.41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10">
        <f t="shared" si="4"/>
        <v>58</v>
      </c>
      <c r="AP90" s="10">
        <f t="shared" si="5"/>
        <v>87.91</v>
      </c>
      <c r="AQ90" s="1">
        <f t="shared" si="6"/>
        <v>145.91</v>
      </c>
      <c r="AR90" s="1">
        <f t="shared" si="7"/>
        <v>9.9999999999909051E-3</v>
      </c>
    </row>
    <row r="91" spans="1:44" x14ac:dyDescent="0.2">
      <c r="A91" s="3">
        <v>84</v>
      </c>
      <c r="B91" s="8" t="s">
        <v>118</v>
      </c>
      <c r="C91" s="3" t="s">
        <v>27</v>
      </c>
      <c r="D91" s="3">
        <v>0.2</v>
      </c>
      <c r="E91" s="3" t="s">
        <v>107</v>
      </c>
      <c r="F91" s="4">
        <v>291.8</v>
      </c>
      <c r="G91" s="4">
        <v>178</v>
      </c>
      <c r="H91" s="4">
        <v>113.8</v>
      </c>
      <c r="I91" s="4">
        <v>175</v>
      </c>
      <c r="J91" s="4">
        <v>46</v>
      </c>
      <c r="K91" s="4">
        <v>0</v>
      </c>
      <c r="L91" s="4">
        <v>0</v>
      </c>
      <c r="M91" s="4">
        <v>0</v>
      </c>
      <c r="N91" s="4">
        <v>68.8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72.8</v>
      </c>
      <c r="Z91" s="4">
        <v>4</v>
      </c>
      <c r="AA91" s="4">
        <v>0</v>
      </c>
      <c r="AB91" s="4">
        <v>0</v>
      </c>
      <c r="AC91" s="4">
        <v>0</v>
      </c>
      <c r="AD91" s="4">
        <v>68.8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10">
        <f t="shared" si="4"/>
        <v>175</v>
      </c>
      <c r="AP91" s="10">
        <f t="shared" si="5"/>
        <v>114.8</v>
      </c>
      <c r="AQ91" s="1">
        <f t="shared" si="6"/>
        <v>289.8</v>
      </c>
      <c r="AR91" s="1">
        <f t="shared" si="7"/>
        <v>-2</v>
      </c>
    </row>
    <row r="92" spans="1:44" x14ac:dyDescent="0.2">
      <c r="A92" s="3">
        <v>85</v>
      </c>
      <c r="B92" s="8" t="s">
        <v>119</v>
      </c>
      <c r="C92" s="3" t="s">
        <v>27</v>
      </c>
      <c r="D92" s="3">
        <v>1.4</v>
      </c>
      <c r="E92" s="3" t="s">
        <v>107</v>
      </c>
      <c r="F92" s="4">
        <v>2042.6</v>
      </c>
      <c r="G92" s="4">
        <v>1246</v>
      </c>
      <c r="H92" s="4">
        <v>796.6</v>
      </c>
      <c r="I92" s="4">
        <v>1065</v>
      </c>
      <c r="J92" s="4">
        <v>240</v>
      </c>
      <c r="K92" s="4">
        <v>224</v>
      </c>
      <c r="L92" s="4">
        <v>0</v>
      </c>
      <c r="M92" s="4">
        <v>100</v>
      </c>
      <c r="N92" s="4">
        <v>323</v>
      </c>
      <c r="O92" s="4">
        <v>72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767</v>
      </c>
      <c r="Z92" s="4">
        <v>48</v>
      </c>
      <c r="AA92" s="4">
        <v>224</v>
      </c>
      <c r="AB92" s="4">
        <v>0</v>
      </c>
      <c r="AC92" s="4">
        <v>100</v>
      </c>
      <c r="AD92" s="4">
        <v>323</v>
      </c>
      <c r="AE92" s="4">
        <v>72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10">
        <f t="shared" si="4"/>
        <v>1065</v>
      </c>
      <c r="AP92" s="10">
        <f t="shared" si="5"/>
        <v>959</v>
      </c>
      <c r="AQ92" s="1">
        <f t="shared" si="6"/>
        <v>2024</v>
      </c>
      <c r="AR92" s="1">
        <f t="shared" si="7"/>
        <v>-18.599999999999909</v>
      </c>
    </row>
    <row r="93" spans="1:44" x14ac:dyDescent="0.2">
      <c r="A93" s="3">
        <v>86</v>
      </c>
      <c r="B93" s="8" t="s">
        <v>120</v>
      </c>
      <c r="C93" s="3" t="s">
        <v>27</v>
      </c>
      <c r="D93" s="3">
        <v>0.25</v>
      </c>
      <c r="E93" s="3" t="s">
        <v>107</v>
      </c>
      <c r="F93" s="4">
        <v>364.75</v>
      </c>
      <c r="G93" s="4">
        <v>222.5</v>
      </c>
      <c r="H93" s="4">
        <v>142.25</v>
      </c>
      <c r="I93" s="4">
        <v>220</v>
      </c>
      <c r="J93" s="4">
        <v>86</v>
      </c>
      <c r="K93" s="4">
        <v>12</v>
      </c>
      <c r="L93" s="4">
        <v>0</v>
      </c>
      <c r="M93" s="4">
        <v>0</v>
      </c>
      <c r="N93" s="4">
        <v>43.45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87.95</v>
      </c>
      <c r="Z93" s="4">
        <v>32.5</v>
      </c>
      <c r="AA93" s="4">
        <v>12</v>
      </c>
      <c r="AB93" s="4">
        <v>0</v>
      </c>
      <c r="AC93" s="4">
        <v>0</v>
      </c>
      <c r="AD93" s="4">
        <v>43.45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10">
        <f t="shared" si="4"/>
        <v>220</v>
      </c>
      <c r="AP93" s="10">
        <f t="shared" si="5"/>
        <v>141.44999999999999</v>
      </c>
      <c r="AQ93" s="1">
        <f t="shared" si="6"/>
        <v>361.45</v>
      </c>
      <c r="AR93" s="1">
        <f t="shared" si="7"/>
        <v>-3.3000000000000114</v>
      </c>
    </row>
    <row r="94" spans="1:44" x14ac:dyDescent="0.2">
      <c r="A94" s="3">
        <v>87</v>
      </c>
      <c r="B94" s="8" t="s">
        <v>121</v>
      </c>
      <c r="C94" s="3" t="s">
        <v>27</v>
      </c>
      <c r="D94" s="3">
        <v>0.25</v>
      </c>
      <c r="E94" s="3" t="s">
        <v>107</v>
      </c>
      <c r="F94" s="4">
        <v>364.75</v>
      </c>
      <c r="G94" s="4">
        <v>222.5</v>
      </c>
      <c r="H94" s="4">
        <v>142.25</v>
      </c>
      <c r="I94" s="4">
        <v>214</v>
      </c>
      <c r="J94" s="4">
        <v>49.5</v>
      </c>
      <c r="K94" s="4">
        <v>65</v>
      </c>
      <c r="L94" s="4">
        <v>0</v>
      </c>
      <c r="M94" s="4">
        <v>0</v>
      </c>
      <c r="N94" s="4">
        <v>36.25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101.25</v>
      </c>
      <c r="Z94" s="4">
        <v>0</v>
      </c>
      <c r="AA94" s="4">
        <v>65</v>
      </c>
      <c r="AB94" s="4">
        <v>0</v>
      </c>
      <c r="AC94" s="4">
        <v>0</v>
      </c>
      <c r="AD94" s="4">
        <v>36.25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10">
        <f t="shared" si="4"/>
        <v>214</v>
      </c>
      <c r="AP94" s="10">
        <f t="shared" si="5"/>
        <v>150.75</v>
      </c>
      <c r="AQ94" s="1">
        <f t="shared" si="6"/>
        <v>364.75</v>
      </c>
      <c r="AR94" s="1">
        <f t="shared" si="7"/>
        <v>0</v>
      </c>
    </row>
    <row r="95" spans="1:44" x14ac:dyDescent="0.2">
      <c r="A95" s="3">
        <v>88</v>
      </c>
      <c r="B95" s="8" t="s">
        <v>122</v>
      </c>
      <c r="C95" s="3" t="s">
        <v>32</v>
      </c>
      <c r="D95" s="3">
        <v>0.25</v>
      </c>
      <c r="E95" s="3" t="s">
        <v>107</v>
      </c>
      <c r="F95" s="4">
        <v>364.75</v>
      </c>
      <c r="G95" s="4">
        <v>222.5</v>
      </c>
      <c r="H95" s="4">
        <v>142.25</v>
      </c>
      <c r="I95" s="4">
        <v>216</v>
      </c>
      <c r="J95" s="4">
        <v>54</v>
      </c>
      <c r="K95" s="4">
        <v>4</v>
      </c>
      <c r="L95" s="4">
        <v>0</v>
      </c>
      <c r="M95" s="4">
        <v>0</v>
      </c>
      <c r="N95" s="4">
        <v>87.05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91.05</v>
      </c>
      <c r="Z95" s="4">
        <v>0</v>
      </c>
      <c r="AA95" s="4">
        <v>4</v>
      </c>
      <c r="AB95" s="4">
        <v>0</v>
      </c>
      <c r="AC95" s="4">
        <v>0</v>
      </c>
      <c r="AD95" s="4">
        <v>87.05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10">
        <f t="shared" si="4"/>
        <v>216</v>
      </c>
      <c r="AP95" s="10">
        <f t="shared" si="5"/>
        <v>145.05000000000001</v>
      </c>
      <c r="AQ95" s="1">
        <f t="shared" si="6"/>
        <v>361.05</v>
      </c>
      <c r="AR95" s="1">
        <f t="shared" si="7"/>
        <v>-3.6999999999999886</v>
      </c>
    </row>
    <row r="96" spans="1:44" x14ac:dyDescent="0.2">
      <c r="A96" s="3">
        <v>89</v>
      </c>
      <c r="B96" s="8" t="s">
        <v>123</v>
      </c>
      <c r="C96" s="3" t="s">
        <v>48</v>
      </c>
      <c r="D96" s="3">
        <v>0.25</v>
      </c>
      <c r="E96" s="3" t="s">
        <v>107</v>
      </c>
      <c r="F96" s="4">
        <v>364.75</v>
      </c>
      <c r="G96" s="4">
        <v>222.5</v>
      </c>
      <c r="H96" s="4">
        <v>142.25</v>
      </c>
      <c r="I96" s="4">
        <v>220</v>
      </c>
      <c r="J96" s="4">
        <v>39.5</v>
      </c>
      <c r="K96" s="4">
        <v>0</v>
      </c>
      <c r="L96" s="4">
        <v>0</v>
      </c>
      <c r="M96" s="4">
        <v>75.25</v>
      </c>
      <c r="N96" s="4">
        <v>28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111.25</v>
      </c>
      <c r="Z96" s="4">
        <v>8</v>
      </c>
      <c r="AA96" s="4">
        <v>0</v>
      </c>
      <c r="AB96" s="4">
        <v>0</v>
      </c>
      <c r="AC96" s="4">
        <v>75.25</v>
      </c>
      <c r="AD96" s="4">
        <v>28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10">
        <f t="shared" si="4"/>
        <v>220</v>
      </c>
      <c r="AP96" s="10">
        <f t="shared" si="5"/>
        <v>142.75</v>
      </c>
      <c r="AQ96" s="1">
        <f t="shared" si="6"/>
        <v>362.75</v>
      </c>
      <c r="AR96" s="1">
        <f t="shared" si="7"/>
        <v>-2</v>
      </c>
    </row>
    <row r="97" spans="1:44" x14ac:dyDescent="0.2">
      <c r="A97" s="3">
        <v>90</v>
      </c>
      <c r="B97" s="8" t="s">
        <v>124</v>
      </c>
      <c r="C97" s="3" t="s">
        <v>32</v>
      </c>
      <c r="D97" s="3">
        <v>0.25</v>
      </c>
      <c r="E97" s="3" t="s">
        <v>107</v>
      </c>
      <c r="F97" s="4">
        <v>364.75</v>
      </c>
      <c r="G97" s="4">
        <v>222.5</v>
      </c>
      <c r="H97" s="4">
        <v>142.25</v>
      </c>
      <c r="I97" s="4">
        <v>216</v>
      </c>
      <c r="J97" s="4">
        <v>54</v>
      </c>
      <c r="K97" s="4">
        <v>4</v>
      </c>
      <c r="L97" s="4">
        <v>0</v>
      </c>
      <c r="M97" s="4">
        <v>0</v>
      </c>
      <c r="N97" s="4">
        <v>83.45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87.45</v>
      </c>
      <c r="Z97" s="4">
        <v>0</v>
      </c>
      <c r="AA97" s="4">
        <v>4</v>
      </c>
      <c r="AB97" s="4">
        <v>0</v>
      </c>
      <c r="AC97" s="4">
        <v>0</v>
      </c>
      <c r="AD97" s="4">
        <v>83.45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10">
        <f t="shared" si="4"/>
        <v>216</v>
      </c>
      <c r="AP97" s="10">
        <f t="shared" si="5"/>
        <v>141.44999999999999</v>
      </c>
      <c r="AQ97" s="1">
        <f t="shared" si="6"/>
        <v>357.45</v>
      </c>
      <c r="AR97" s="1">
        <f t="shared" si="7"/>
        <v>-7.3000000000000114</v>
      </c>
    </row>
    <row r="98" spans="1:44" x14ac:dyDescent="0.2">
      <c r="A98" s="3">
        <v>91</v>
      </c>
      <c r="B98" s="3" t="s">
        <v>125</v>
      </c>
      <c r="C98" s="3" t="s">
        <v>32</v>
      </c>
      <c r="D98" s="3">
        <v>0.25</v>
      </c>
      <c r="E98" s="3" t="s">
        <v>126</v>
      </c>
      <c r="F98" s="4">
        <v>364.75</v>
      </c>
      <c r="G98" s="4">
        <v>222.5</v>
      </c>
      <c r="H98" s="4">
        <v>142.25</v>
      </c>
      <c r="I98" s="4">
        <v>216</v>
      </c>
      <c r="J98" s="4">
        <v>50.5</v>
      </c>
      <c r="K98" s="4">
        <v>70</v>
      </c>
      <c r="L98" s="4">
        <v>0</v>
      </c>
      <c r="M98" s="4">
        <v>0</v>
      </c>
      <c r="N98" s="4">
        <v>28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148.5</v>
      </c>
      <c r="Z98" s="4">
        <v>50.5</v>
      </c>
      <c r="AA98" s="4">
        <v>70</v>
      </c>
      <c r="AB98" s="4">
        <v>0</v>
      </c>
      <c r="AC98" s="4">
        <v>0</v>
      </c>
      <c r="AD98" s="4">
        <v>28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10">
        <f t="shared" si="4"/>
        <v>216</v>
      </c>
      <c r="AP98" s="10">
        <f t="shared" si="5"/>
        <v>148.5</v>
      </c>
      <c r="AQ98" s="1">
        <f t="shared" si="6"/>
        <v>364.5</v>
      </c>
      <c r="AR98" s="1">
        <f t="shared" si="7"/>
        <v>-0.25</v>
      </c>
    </row>
    <row r="99" spans="1:44" x14ac:dyDescent="0.2">
      <c r="A99" s="3">
        <v>92</v>
      </c>
      <c r="B99" s="3" t="s">
        <v>127</v>
      </c>
      <c r="C99" s="3" t="s">
        <v>32</v>
      </c>
      <c r="D99" s="3">
        <v>0.25</v>
      </c>
      <c r="E99" s="3" t="s">
        <v>126</v>
      </c>
      <c r="F99" s="4">
        <v>364.75</v>
      </c>
      <c r="G99" s="4">
        <v>222.5</v>
      </c>
      <c r="H99" s="4">
        <v>142.25</v>
      </c>
      <c r="I99" s="4">
        <v>0</v>
      </c>
      <c r="J99" s="4">
        <v>10</v>
      </c>
      <c r="K99" s="4">
        <v>156.5</v>
      </c>
      <c r="L99" s="4">
        <v>0</v>
      </c>
      <c r="M99" s="4">
        <v>0</v>
      </c>
      <c r="N99" s="4">
        <v>8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84.5</v>
      </c>
      <c r="Z99" s="4">
        <v>0</v>
      </c>
      <c r="AA99" s="4">
        <v>84.5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10">
        <f t="shared" si="4"/>
        <v>0</v>
      </c>
      <c r="AP99" s="10">
        <f t="shared" si="5"/>
        <v>174.5</v>
      </c>
      <c r="AQ99" s="1">
        <f t="shared" si="6"/>
        <v>174.5</v>
      </c>
      <c r="AR99" s="1">
        <f t="shared" si="7"/>
        <v>-190.25</v>
      </c>
    </row>
    <row r="100" spans="1:44" x14ac:dyDescent="0.2">
      <c r="A100" s="3">
        <v>93</v>
      </c>
      <c r="B100" s="3" t="s">
        <v>128</v>
      </c>
      <c r="C100" s="3" t="s">
        <v>32</v>
      </c>
      <c r="D100" s="3">
        <v>0.25</v>
      </c>
      <c r="E100" s="3" t="s">
        <v>126</v>
      </c>
      <c r="F100" s="4">
        <v>364.75</v>
      </c>
      <c r="G100" s="4">
        <v>222.5</v>
      </c>
      <c r="H100" s="4">
        <v>142.25</v>
      </c>
      <c r="I100" s="4">
        <v>216</v>
      </c>
      <c r="J100" s="4">
        <v>18</v>
      </c>
      <c r="K100" s="4">
        <v>102.5</v>
      </c>
      <c r="L100" s="4">
        <v>0</v>
      </c>
      <c r="M100" s="4">
        <v>0</v>
      </c>
      <c r="N100" s="4">
        <v>28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148.5</v>
      </c>
      <c r="Z100" s="4">
        <v>18</v>
      </c>
      <c r="AA100" s="4">
        <v>102.5</v>
      </c>
      <c r="AB100" s="4">
        <v>0</v>
      </c>
      <c r="AC100" s="4">
        <v>0</v>
      </c>
      <c r="AD100" s="4">
        <v>28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10">
        <f t="shared" si="4"/>
        <v>216</v>
      </c>
      <c r="AP100" s="10">
        <f t="shared" si="5"/>
        <v>148.5</v>
      </c>
      <c r="AQ100" s="1">
        <f t="shared" si="6"/>
        <v>364.5</v>
      </c>
      <c r="AR100" s="1">
        <f t="shared" si="7"/>
        <v>-0.25</v>
      </c>
    </row>
    <row r="101" spans="1:44" x14ac:dyDescent="0.2">
      <c r="A101" s="3">
        <v>94</v>
      </c>
      <c r="B101" s="3" t="s">
        <v>129</v>
      </c>
      <c r="C101" s="3" t="s">
        <v>32</v>
      </c>
      <c r="D101" s="3">
        <v>0.15</v>
      </c>
      <c r="E101" s="3" t="s">
        <v>126</v>
      </c>
      <c r="F101" s="4">
        <v>218.85</v>
      </c>
      <c r="G101" s="4">
        <v>133.5</v>
      </c>
      <c r="H101" s="4">
        <v>85.35</v>
      </c>
      <c r="I101" s="4">
        <v>130</v>
      </c>
      <c r="J101" s="4">
        <v>60</v>
      </c>
      <c r="K101" s="4">
        <v>12</v>
      </c>
      <c r="L101" s="4">
        <v>0</v>
      </c>
      <c r="M101" s="4">
        <v>0</v>
      </c>
      <c r="N101" s="4">
        <v>17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89</v>
      </c>
      <c r="Z101" s="4">
        <v>60</v>
      </c>
      <c r="AA101" s="4">
        <v>12</v>
      </c>
      <c r="AB101" s="4">
        <v>0</v>
      </c>
      <c r="AC101" s="4">
        <v>0</v>
      </c>
      <c r="AD101" s="4">
        <v>17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10">
        <f t="shared" si="4"/>
        <v>130</v>
      </c>
      <c r="AP101" s="10">
        <f t="shared" si="5"/>
        <v>89</v>
      </c>
      <c r="AQ101" s="1">
        <f t="shared" si="6"/>
        <v>219</v>
      </c>
      <c r="AR101" s="1">
        <f t="shared" si="7"/>
        <v>0.15000000000000568</v>
      </c>
    </row>
    <row r="102" spans="1:44" x14ac:dyDescent="0.2">
      <c r="A102" s="3">
        <v>95</v>
      </c>
      <c r="B102" s="3" t="s">
        <v>130</v>
      </c>
      <c r="C102" s="3" t="s">
        <v>32</v>
      </c>
      <c r="D102" s="3">
        <v>0.5</v>
      </c>
      <c r="E102" s="3" t="s">
        <v>126</v>
      </c>
      <c r="F102" s="4">
        <v>729.5</v>
      </c>
      <c r="G102" s="4">
        <v>445</v>
      </c>
      <c r="H102" s="4">
        <v>284.5</v>
      </c>
      <c r="I102" s="4">
        <v>439</v>
      </c>
      <c r="J102" s="4">
        <v>104</v>
      </c>
      <c r="K102" s="4">
        <v>147</v>
      </c>
      <c r="L102" s="4">
        <v>0</v>
      </c>
      <c r="M102" s="4">
        <v>0</v>
      </c>
      <c r="N102" s="4">
        <v>41.5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290.5</v>
      </c>
      <c r="Z102" s="4">
        <v>104</v>
      </c>
      <c r="AA102" s="4">
        <v>145</v>
      </c>
      <c r="AB102" s="4">
        <v>0</v>
      </c>
      <c r="AC102" s="4">
        <v>0</v>
      </c>
      <c r="AD102" s="4">
        <v>41.5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10">
        <f t="shared" si="4"/>
        <v>439</v>
      </c>
      <c r="AP102" s="10">
        <f t="shared" si="5"/>
        <v>292.5</v>
      </c>
      <c r="AQ102" s="1">
        <f t="shared" si="6"/>
        <v>731.5</v>
      </c>
      <c r="AR102" s="1">
        <f t="shared" si="7"/>
        <v>2</v>
      </c>
    </row>
    <row r="103" spans="1:44" x14ac:dyDescent="0.2">
      <c r="A103" s="3">
        <v>96</v>
      </c>
      <c r="B103" s="3" t="s">
        <v>131</v>
      </c>
      <c r="C103" s="3" t="s">
        <v>27</v>
      </c>
      <c r="D103" s="3">
        <v>0.25</v>
      </c>
      <c r="E103" s="3" t="s">
        <v>126</v>
      </c>
      <c r="F103" s="4">
        <v>364.75</v>
      </c>
      <c r="G103" s="4">
        <v>222.5</v>
      </c>
      <c r="H103" s="4">
        <v>142.25</v>
      </c>
      <c r="I103" s="4">
        <v>218</v>
      </c>
      <c r="J103" s="4">
        <v>60</v>
      </c>
      <c r="K103" s="4">
        <v>0</v>
      </c>
      <c r="L103" s="4">
        <v>0</v>
      </c>
      <c r="M103" s="4">
        <v>25</v>
      </c>
      <c r="N103" s="4">
        <v>28</v>
      </c>
      <c r="O103" s="4">
        <v>36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149</v>
      </c>
      <c r="Z103" s="4">
        <v>60</v>
      </c>
      <c r="AA103" s="4">
        <v>0</v>
      </c>
      <c r="AB103" s="4">
        <v>0</v>
      </c>
      <c r="AC103" s="4">
        <v>25</v>
      </c>
      <c r="AD103" s="4">
        <v>28</v>
      </c>
      <c r="AE103" s="4">
        <v>36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10">
        <f t="shared" si="4"/>
        <v>218</v>
      </c>
      <c r="AP103" s="10">
        <f t="shared" si="5"/>
        <v>149</v>
      </c>
      <c r="AQ103" s="1">
        <f t="shared" si="6"/>
        <v>367</v>
      </c>
      <c r="AR103" s="1">
        <f t="shared" si="7"/>
        <v>2.25</v>
      </c>
    </row>
    <row r="104" spans="1:44" x14ac:dyDescent="0.2">
      <c r="A104" s="3">
        <v>97</v>
      </c>
      <c r="B104" s="3" t="s">
        <v>132</v>
      </c>
      <c r="C104" s="3" t="s">
        <v>24</v>
      </c>
      <c r="D104" s="3">
        <v>1</v>
      </c>
      <c r="E104" s="3" t="s">
        <v>126</v>
      </c>
      <c r="F104" s="4">
        <v>1459</v>
      </c>
      <c r="G104" s="4">
        <v>890</v>
      </c>
      <c r="H104" s="4">
        <v>569</v>
      </c>
      <c r="I104" s="4">
        <v>860</v>
      </c>
      <c r="J104" s="4">
        <v>166</v>
      </c>
      <c r="K104" s="4">
        <v>174</v>
      </c>
      <c r="L104" s="4">
        <v>0</v>
      </c>
      <c r="M104" s="4">
        <v>0</v>
      </c>
      <c r="N104" s="4">
        <v>500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840</v>
      </c>
      <c r="Z104" s="4">
        <v>166</v>
      </c>
      <c r="AA104" s="4">
        <v>174</v>
      </c>
      <c r="AB104" s="4">
        <v>0</v>
      </c>
      <c r="AC104" s="4">
        <v>0</v>
      </c>
      <c r="AD104" s="4">
        <v>500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10">
        <f t="shared" si="4"/>
        <v>860</v>
      </c>
      <c r="AP104" s="10">
        <f t="shared" si="5"/>
        <v>840</v>
      </c>
      <c r="AQ104" s="1">
        <f t="shared" si="6"/>
        <v>1700</v>
      </c>
      <c r="AR104" s="1">
        <f t="shared" si="7"/>
        <v>241</v>
      </c>
    </row>
    <row r="105" spans="1:44" x14ac:dyDescent="0.2">
      <c r="A105" s="3">
        <v>98</v>
      </c>
      <c r="B105" s="3" t="s">
        <v>133</v>
      </c>
      <c r="C105" s="3" t="s">
        <v>27</v>
      </c>
      <c r="D105" s="3">
        <v>0.5</v>
      </c>
      <c r="E105" s="3" t="s">
        <v>134</v>
      </c>
      <c r="F105" s="4">
        <v>729.5</v>
      </c>
      <c r="G105" s="4">
        <v>445</v>
      </c>
      <c r="H105" s="4">
        <v>284.5</v>
      </c>
      <c r="I105" s="4">
        <v>445</v>
      </c>
      <c r="J105" s="4">
        <v>92.5</v>
      </c>
      <c r="K105" s="13">
        <v>618</v>
      </c>
      <c r="L105" s="4">
        <v>0</v>
      </c>
      <c r="M105" s="4">
        <v>0</v>
      </c>
      <c r="N105" s="4">
        <v>28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738.5</v>
      </c>
      <c r="Z105" s="4">
        <v>92.5</v>
      </c>
      <c r="AA105" s="4">
        <v>618</v>
      </c>
      <c r="AB105" s="4">
        <v>0</v>
      </c>
      <c r="AC105" s="4">
        <v>0</v>
      </c>
      <c r="AD105" s="4">
        <v>28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10">
        <f t="shared" si="4"/>
        <v>445</v>
      </c>
      <c r="AP105" s="10">
        <f t="shared" si="5"/>
        <v>738.5</v>
      </c>
      <c r="AQ105" s="1">
        <f t="shared" si="6"/>
        <v>1183.5</v>
      </c>
      <c r="AR105" s="1">
        <f t="shared" si="7"/>
        <v>454</v>
      </c>
    </row>
    <row r="106" spans="1:44" x14ac:dyDescent="0.2">
      <c r="A106" s="3">
        <v>99</v>
      </c>
      <c r="B106" s="3" t="s">
        <v>135</v>
      </c>
      <c r="C106" s="3" t="s">
        <v>27</v>
      </c>
      <c r="D106" s="3">
        <v>0.5</v>
      </c>
      <c r="E106" s="3" t="s">
        <v>134</v>
      </c>
      <c r="F106" s="4">
        <v>729.5</v>
      </c>
      <c r="G106" s="4">
        <v>445</v>
      </c>
      <c r="H106" s="4">
        <v>284.5</v>
      </c>
      <c r="I106" s="4">
        <v>445</v>
      </c>
      <c r="J106" s="4">
        <v>81</v>
      </c>
      <c r="K106" s="4">
        <v>204</v>
      </c>
      <c r="L106" s="4">
        <v>0</v>
      </c>
      <c r="M106" s="4">
        <v>0</v>
      </c>
      <c r="N106" s="4">
        <v>28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313</v>
      </c>
      <c r="Z106" s="4">
        <v>81</v>
      </c>
      <c r="AA106" s="4">
        <v>204</v>
      </c>
      <c r="AB106" s="4">
        <v>0</v>
      </c>
      <c r="AC106" s="4">
        <v>0</v>
      </c>
      <c r="AD106" s="4">
        <v>28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10">
        <f t="shared" si="4"/>
        <v>445</v>
      </c>
      <c r="AP106" s="10">
        <f t="shared" si="5"/>
        <v>313</v>
      </c>
      <c r="AQ106" s="1">
        <f t="shared" si="6"/>
        <v>758</v>
      </c>
      <c r="AR106" s="1">
        <f t="shared" si="7"/>
        <v>28.5</v>
      </c>
    </row>
    <row r="107" spans="1:44" x14ac:dyDescent="0.2">
      <c r="A107" s="3">
        <v>100</v>
      </c>
      <c r="B107" s="3" t="s">
        <v>136</v>
      </c>
      <c r="C107" s="3" t="s">
        <v>32</v>
      </c>
      <c r="D107" s="3">
        <v>0.25</v>
      </c>
      <c r="E107" s="3" t="s">
        <v>134</v>
      </c>
      <c r="F107" s="4">
        <v>364.75</v>
      </c>
      <c r="G107" s="4">
        <v>222.5</v>
      </c>
      <c r="H107" s="4">
        <v>142.25</v>
      </c>
      <c r="I107" s="4">
        <v>0</v>
      </c>
      <c r="J107" s="4"/>
      <c r="K107" s="4"/>
      <c r="L107" s="4"/>
      <c r="M107" s="4"/>
      <c r="N107" s="4"/>
      <c r="O107" s="4"/>
      <c r="P107" s="4"/>
      <c r="Q107" s="4">
        <v>0</v>
      </c>
      <c r="R107" s="4"/>
      <c r="S107" s="4"/>
      <c r="T107" s="4"/>
      <c r="U107" s="4"/>
      <c r="V107" s="4"/>
      <c r="W107" s="4"/>
      <c r="X107" s="4"/>
      <c r="Y107" s="4">
        <v>0</v>
      </c>
      <c r="Z107" s="4"/>
      <c r="AA107" s="4"/>
      <c r="AB107" s="4"/>
      <c r="AC107" s="4"/>
      <c r="AD107" s="4"/>
      <c r="AE107" s="4"/>
      <c r="AF107" s="4"/>
      <c r="AG107" s="4">
        <v>0</v>
      </c>
      <c r="AH107" s="4"/>
      <c r="AI107" s="4"/>
      <c r="AJ107" s="4"/>
      <c r="AK107" s="4"/>
      <c r="AL107" s="4"/>
      <c r="AM107" s="4"/>
      <c r="AN107" s="4"/>
      <c r="AO107" s="10">
        <f t="shared" si="4"/>
        <v>0</v>
      </c>
      <c r="AP107" s="10">
        <f t="shared" si="5"/>
        <v>0</v>
      </c>
      <c r="AQ107" s="1">
        <f t="shared" si="6"/>
        <v>0</v>
      </c>
      <c r="AR107" s="1">
        <f t="shared" si="7"/>
        <v>-364.75</v>
      </c>
    </row>
    <row r="108" spans="1:44" x14ac:dyDescent="0.2">
      <c r="A108" s="3">
        <v>101</v>
      </c>
      <c r="B108" s="3" t="s">
        <v>137</v>
      </c>
      <c r="C108" s="3" t="s">
        <v>27</v>
      </c>
      <c r="D108" s="3">
        <v>1.5</v>
      </c>
      <c r="E108" s="3" t="s">
        <v>138</v>
      </c>
      <c r="F108" s="4">
        <v>2188.5</v>
      </c>
      <c r="G108" s="4">
        <v>1335</v>
      </c>
      <c r="H108" s="4">
        <v>853.5</v>
      </c>
      <c r="I108" s="4">
        <v>1273</v>
      </c>
      <c r="J108" s="4">
        <v>70.61</v>
      </c>
      <c r="K108" s="4">
        <v>137.4</v>
      </c>
      <c r="L108" s="4">
        <v>443.5</v>
      </c>
      <c r="M108" s="4">
        <v>100</v>
      </c>
      <c r="N108" s="4">
        <v>147.99</v>
      </c>
      <c r="O108" s="4">
        <v>16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915.5</v>
      </c>
      <c r="Z108" s="4">
        <v>70.61</v>
      </c>
      <c r="AA108" s="4">
        <v>137.4</v>
      </c>
      <c r="AB108" s="4">
        <v>443.5</v>
      </c>
      <c r="AC108" s="4">
        <v>100</v>
      </c>
      <c r="AD108" s="4">
        <v>147.99</v>
      </c>
      <c r="AE108" s="4">
        <v>16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10">
        <f t="shared" si="4"/>
        <v>1273</v>
      </c>
      <c r="AP108" s="10">
        <f t="shared" si="5"/>
        <v>915.5</v>
      </c>
      <c r="AQ108" s="1">
        <f t="shared" si="6"/>
        <v>2188.5</v>
      </c>
      <c r="AR108" s="1">
        <f t="shared" si="7"/>
        <v>0</v>
      </c>
    </row>
    <row r="109" spans="1:44" x14ac:dyDescent="0.2">
      <c r="A109" s="3">
        <v>102</v>
      </c>
      <c r="B109" s="3" t="s">
        <v>139</v>
      </c>
      <c r="C109" s="3" t="s">
        <v>32</v>
      </c>
      <c r="D109" s="3">
        <v>1</v>
      </c>
      <c r="E109" s="3" t="s">
        <v>138</v>
      </c>
      <c r="F109" s="4">
        <v>1459</v>
      </c>
      <c r="G109" s="4">
        <v>890</v>
      </c>
      <c r="H109" s="4">
        <v>569</v>
      </c>
      <c r="I109" s="4">
        <v>889.21</v>
      </c>
      <c r="J109" s="4">
        <v>239.1</v>
      </c>
      <c r="K109" s="4">
        <v>42.7</v>
      </c>
      <c r="L109" s="4">
        <v>0</v>
      </c>
      <c r="M109" s="4">
        <v>260</v>
      </c>
      <c r="N109" s="4">
        <v>27.99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569.79</v>
      </c>
      <c r="Z109" s="4">
        <v>239.1</v>
      </c>
      <c r="AA109" s="4">
        <v>42.7</v>
      </c>
      <c r="AB109" s="4">
        <v>0</v>
      </c>
      <c r="AC109" s="4">
        <v>260</v>
      </c>
      <c r="AD109" s="4">
        <v>27.99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10">
        <f t="shared" si="4"/>
        <v>889.21</v>
      </c>
      <c r="AP109" s="10">
        <f t="shared" si="5"/>
        <v>569.79</v>
      </c>
      <c r="AQ109" s="1">
        <f t="shared" si="6"/>
        <v>1459</v>
      </c>
      <c r="AR109" s="1">
        <f t="shared" si="7"/>
        <v>0</v>
      </c>
    </row>
    <row r="110" spans="1:44" x14ac:dyDescent="0.2">
      <c r="A110" s="3">
        <v>103</v>
      </c>
      <c r="B110" s="3" t="s">
        <v>140</v>
      </c>
      <c r="C110" s="3" t="s">
        <v>36</v>
      </c>
      <c r="D110" s="3">
        <v>0.1</v>
      </c>
      <c r="E110" s="3" t="s">
        <v>138</v>
      </c>
      <c r="F110" s="4">
        <v>145.9</v>
      </c>
      <c r="G110" s="4">
        <v>89</v>
      </c>
      <c r="H110" s="4">
        <v>56.9</v>
      </c>
      <c r="I110" s="4">
        <v>89</v>
      </c>
      <c r="J110" s="4">
        <v>22.3</v>
      </c>
      <c r="K110" s="4">
        <v>3.6</v>
      </c>
      <c r="L110" s="4">
        <v>0</v>
      </c>
      <c r="M110" s="4">
        <v>0</v>
      </c>
      <c r="N110" s="4">
        <v>28</v>
      </c>
      <c r="O110" s="4">
        <v>3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56.9</v>
      </c>
      <c r="Z110" s="4">
        <v>22.3</v>
      </c>
      <c r="AA110" s="4">
        <v>3.6</v>
      </c>
      <c r="AB110" s="4">
        <v>0</v>
      </c>
      <c r="AC110" s="4">
        <v>0</v>
      </c>
      <c r="AD110" s="4">
        <v>28</v>
      </c>
      <c r="AE110" s="4">
        <v>3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10">
        <f t="shared" si="4"/>
        <v>89</v>
      </c>
      <c r="AP110" s="10">
        <f t="shared" si="5"/>
        <v>56.900000000000006</v>
      </c>
      <c r="AQ110" s="1">
        <f t="shared" si="6"/>
        <v>145.9</v>
      </c>
      <c r="AR110" s="1">
        <f t="shared" si="7"/>
        <v>0</v>
      </c>
    </row>
    <row r="111" spans="1:44" x14ac:dyDescent="0.2">
      <c r="A111" s="3">
        <v>104</v>
      </c>
      <c r="B111" s="3" t="s">
        <v>141</v>
      </c>
      <c r="C111" s="3" t="s">
        <v>27</v>
      </c>
      <c r="D111" s="3">
        <v>1.5</v>
      </c>
      <c r="E111" s="3" t="s">
        <v>138</v>
      </c>
      <c r="F111" s="4">
        <v>2188.5</v>
      </c>
      <c r="G111" s="4">
        <v>1335</v>
      </c>
      <c r="H111" s="4">
        <v>853.5</v>
      </c>
      <c r="I111" s="4">
        <v>1273.74</v>
      </c>
      <c r="J111" s="4">
        <v>274.31</v>
      </c>
      <c r="K111" s="4">
        <v>51.5</v>
      </c>
      <c r="L111" s="4">
        <v>0</v>
      </c>
      <c r="M111" s="4">
        <v>560</v>
      </c>
      <c r="N111" s="4">
        <v>27.96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913.77</v>
      </c>
      <c r="Z111" s="4">
        <v>274.31</v>
      </c>
      <c r="AA111" s="4">
        <v>51.5</v>
      </c>
      <c r="AB111" s="4">
        <v>0</v>
      </c>
      <c r="AC111" s="4">
        <v>560</v>
      </c>
      <c r="AD111" s="4">
        <v>27.96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10">
        <f t="shared" si="4"/>
        <v>1273.74</v>
      </c>
      <c r="AP111" s="10">
        <f t="shared" si="5"/>
        <v>913.77</v>
      </c>
      <c r="AQ111" s="1">
        <f t="shared" si="6"/>
        <v>2187.5100000000002</v>
      </c>
      <c r="AR111" s="1">
        <f t="shared" si="7"/>
        <v>-0.98999999999978172</v>
      </c>
    </row>
    <row r="112" spans="1:44" x14ac:dyDescent="0.2">
      <c r="A112" s="3">
        <v>105</v>
      </c>
      <c r="B112" s="3" t="s">
        <v>142</v>
      </c>
      <c r="C112" s="3" t="s">
        <v>36</v>
      </c>
      <c r="D112" s="3">
        <v>1</v>
      </c>
      <c r="E112" s="3" t="s">
        <v>138</v>
      </c>
      <c r="F112" s="4">
        <v>1459</v>
      </c>
      <c r="G112" s="4">
        <v>890</v>
      </c>
      <c r="H112" s="4">
        <v>569</v>
      </c>
      <c r="I112" s="4">
        <v>873</v>
      </c>
      <c r="J112" s="4">
        <v>175</v>
      </c>
      <c r="K112" s="4">
        <v>0</v>
      </c>
      <c r="L112" s="4">
        <v>0</v>
      </c>
      <c r="M112" s="4">
        <v>200</v>
      </c>
      <c r="N112" s="4">
        <v>28</v>
      </c>
      <c r="O112" s="4">
        <v>183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586</v>
      </c>
      <c r="Z112" s="4">
        <v>175</v>
      </c>
      <c r="AA112" s="4">
        <v>0</v>
      </c>
      <c r="AB112" s="4">
        <v>0</v>
      </c>
      <c r="AC112" s="4">
        <v>200</v>
      </c>
      <c r="AD112" s="4">
        <v>28</v>
      </c>
      <c r="AE112" s="4">
        <v>183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10">
        <f t="shared" si="4"/>
        <v>873</v>
      </c>
      <c r="AP112" s="10">
        <f t="shared" si="5"/>
        <v>586</v>
      </c>
      <c r="AQ112" s="1">
        <f t="shared" si="6"/>
        <v>1459</v>
      </c>
      <c r="AR112" s="1">
        <f t="shared" si="7"/>
        <v>0</v>
      </c>
    </row>
    <row r="113" spans="1:44" x14ac:dyDescent="0.2">
      <c r="A113" s="3">
        <v>106</v>
      </c>
      <c r="B113" s="3" t="s">
        <v>143</v>
      </c>
      <c r="C113" s="3" t="s">
        <v>36</v>
      </c>
      <c r="D113" s="3">
        <v>0.2</v>
      </c>
      <c r="E113" s="3" t="s">
        <v>138</v>
      </c>
      <c r="F113" s="4">
        <v>291.8</v>
      </c>
      <c r="G113" s="4">
        <v>178</v>
      </c>
      <c r="H113" s="4">
        <v>113.8</v>
      </c>
      <c r="I113" s="4">
        <v>178</v>
      </c>
      <c r="J113" s="4">
        <v>38.5</v>
      </c>
      <c r="K113" s="4">
        <v>47.3</v>
      </c>
      <c r="L113" s="4">
        <v>0</v>
      </c>
      <c r="M113" s="4">
        <v>0</v>
      </c>
      <c r="N113" s="4">
        <v>28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113.8</v>
      </c>
      <c r="Z113" s="4">
        <v>38.5</v>
      </c>
      <c r="AA113" s="4">
        <v>47.3</v>
      </c>
      <c r="AB113" s="4">
        <v>0</v>
      </c>
      <c r="AC113" s="4">
        <v>0</v>
      </c>
      <c r="AD113" s="4">
        <v>28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10">
        <f t="shared" si="4"/>
        <v>178</v>
      </c>
      <c r="AP113" s="10">
        <f t="shared" si="5"/>
        <v>113.8</v>
      </c>
      <c r="AQ113" s="1">
        <f t="shared" si="6"/>
        <v>291.8</v>
      </c>
      <c r="AR113" s="1">
        <f t="shared" si="7"/>
        <v>0</v>
      </c>
    </row>
    <row r="114" spans="1:44" x14ac:dyDescent="0.2">
      <c r="A114" s="3">
        <v>107</v>
      </c>
      <c r="B114" s="3" t="s">
        <v>144</v>
      </c>
      <c r="C114" s="3" t="s">
        <v>36</v>
      </c>
      <c r="D114" s="3">
        <v>0.2</v>
      </c>
      <c r="E114" s="3" t="s">
        <v>138</v>
      </c>
      <c r="F114" s="4">
        <v>291.8</v>
      </c>
      <c r="G114" s="4">
        <v>178</v>
      </c>
      <c r="H114" s="4">
        <v>113.8</v>
      </c>
      <c r="I114" s="4">
        <v>80</v>
      </c>
      <c r="J114" s="4">
        <v>18</v>
      </c>
      <c r="K114" s="4">
        <v>43.8</v>
      </c>
      <c r="L114" s="4">
        <v>0</v>
      </c>
      <c r="M114" s="4">
        <v>50</v>
      </c>
      <c r="N114" s="4">
        <v>28</v>
      </c>
      <c r="O114" s="4">
        <v>72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211.8</v>
      </c>
      <c r="Z114" s="4">
        <v>18</v>
      </c>
      <c r="AA114" s="4">
        <v>43.8</v>
      </c>
      <c r="AB114" s="4">
        <v>0</v>
      </c>
      <c r="AC114" s="4">
        <v>50</v>
      </c>
      <c r="AD114" s="4">
        <v>28</v>
      </c>
      <c r="AE114" s="4">
        <v>72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10">
        <f t="shared" si="4"/>
        <v>80</v>
      </c>
      <c r="AP114" s="10">
        <f t="shared" si="5"/>
        <v>211.8</v>
      </c>
      <c r="AQ114" s="1">
        <f t="shared" si="6"/>
        <v>291.8</v>
      </c>
      <c r="AR114" s="1">
        <f t="shared" si="7"/>
        <v>0</v>
      </c>
    </row>
    <row r="115" spans="1:44" x14ac:dyDescent="0.2">
      <c r="A115" s="3">
        <v>108</v>
      </c>
      <c r="B115" s="3" t="s">
        <v>145</v>
      </c>
      <c r="C115" s="3" t="s">
        <v>48</v>
      </c>
      <c r="D115" s="3">
        <v>1.5</v>
      </c>
      <c r="E115" s="3" t="s">
        <v>138</v>
      </c>
      <c r="F115" s="4">
        <v>2188.5</v>
      </c>
      <c r="G115" s="4">
        <v>1335</v>
      </c>
      <c r="H115" s="4">
        <v>853.5</v>
      </c>
      <c r="I115" s="4">
        <v>1274.8900000000001</v>
      </c>
      <c r="J115" s="4">
        <v>267.61</v>
      </c>
      <c r="K115" s="4">
        <v>51</v>
      </c>
      <c r="L115" s="4">
        <v>0</v>
      </c>
      <c r="M115" s="4">
        <v>495</v>
      </c>
      <c r="N115" s="4">
        <v>28</v>
      </c>
      <c r="O115" s="4">
        <v>72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913.61</v>
      </c>
      <c r="Z115" s="4">
        <v>267.61</v>
      </c>
      <c r="AA115" s="4">
        <v>51</v>
      </c>
      <c r="AB115" s="4">
        <v>0</v>
      </c>
      <c r="AC115" s="4">
        <v>495</v>
      </c>
      <c r="AD115" s="4">
        <v>28</v>
      </c>
      <c r="AE115" s="4">
        <v>72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10">
        <f t="shared" si="4"/>
        <v>1274.8900000000001</v>
      </c>
      <c r="AP115" s="10">
        <f t="shared" si="5"/>
        <v>913.61</v>
      </c>
      <c r="AQ115" s="1">
        <f t="shared" si="6"/>
        <v>2188.5</v>
      </c>
      <c r="AR115" s="1">
        <f t="shared" si="7"/>
        <v>0</v>
      </c>
    </row>
    <row r="116" spans="1:44" x14ac:dyDescent="0.2">
      <c r="A116" s="3">
        <v>109</v>
      </c>
      <c r="B116" s="3" t="s">
        <v>146</v>
      </c>
      <c r="C116" s="3" t="s">
        <v>32</v>
      </c>
      <c r="D116" s="3">
        <v>0.5</v>
      </c>
      <c r="E116" s="3" t="s">
        <v>138</v>
      </c>
      <c r="F116" s="4">
        <v>729.5</v>
      </c>
      <c r="G116" s="4">
        <v>445</v>
      </c>
      <c r="H116" s="4">
        <v>284.5</v>
      </c>
      <c r="I116" s="4">
        <v>425</v>
      </c>
      <c r="J116" s="4">
        <v>97</v>
      </c>
      <c r="K116" s="4">
        <v>32.4</v>
      </c>
      <c r="L116" s="4">
        <v>0</v>
      </c>
      <c r="M116" s="4">
        <v>75.099999999999994</v>
      </c>
      <c r="N116" s="4">
        <v>28</v>
      </c>
      <c r="O116" s="4">
        <v>72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304.5</v>
      </c>
      <c r="Z116" s="4">
        <v>97</v>
      </c>
      <c r="AA116" s="4">
        <v>32.4</v>
      </c>
      <c r="AB116" s="4">
        <v>0</v>
      </c>
      <c r="AC116" s="4">
        <v>75.099999999999994</v>
      </c>
      <c r="AD116" s="4">
        <v>28</v>
      </c>
      <c r="AE116" s="4">
        <v>72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10">
        <f t="shared" si="4"/>
        <v>425</v>
      </c>
      <c r="AP116" s="10">
        <f t="shared" si="5"/>
        <v>304.5</v>
      </c>
      <c r="AQ116" s="1">
        <f t="shared" si="6"/>
        <v>729.5</v>
      </c>
      <c r="AR116" s="1">
        <f t="shared" si="7"/>
        <v>0</v>
      </c>
    </row>
    <row r="117" spans="1:44" x14ac:dyDescent="0.2">
      <c r="A117" s="3">
        <v>110</v>
      </c>
      <c r="B117" s="3" t="s">
        <v>147</v>
      </c>
      <c r="C117" s="3" t="s">
        <v>27</v>
      </c>
      <c r="D117" s="3">
        <v>0.1</v>
      </c>
      <c r="E117" s="3" t="s">
        <v>138</v>
      </c>
      <c r="F117" s="4">
        <v>145.9</v>
      </c>
      <c r="G117" s="4">
        <v>89</v>
      </c>
      <c r="H117" s="4">
        <v>56.9</v>
      </c>
      <c r="I117" s="4">
        <v>86.5</v>
      </c>
      <c r="J117" s="4">
        <v>16</v>
      </c>
      <c r="K117" s="4">
        <v>9.5</v>
      </c>
      <c r="L117" s="4">
        <v>0</v>
      </c>
      <c r="M117" s="4">
        <v>0</v>
      </c>
      <c r="N117" s="4">
        <v>27.9</v>
      </c>
      <c r="O117" s="4">
        <v>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59.4</v>
      </c>
      <c r="Z117" s="4">
        <v>16</v>
      </c>
      <c r="AA117" s="4">
        <v>9.5</v>
      </c>
      <c r="AB117" s="4">
        <v>0</v>
      </c>
      <c r="AC117" s="4">
        <v>0</v>
      </c>
      <c r="AD117" s="4">
        <v>27.9</v>
      </c>
      <c r="AE117" s="4">
        <v>6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10">
        <f t="shared" si="4"/>
        <v>86.5</v>
      </c>
      <c r="AP117" s="10">
        <f t="shared" si="5"/>
        <v>59.4</v>
      </c>
      <c r="AQ117" s="1">
        <f t="shared" si="6"/>
        <v>145.9</v>
      </c>
      <c r="AR117" s="1">
        <f t="shared" si="7"/>
        <v>0</v>
      </c>
    </row>
    <row r="118" spans="1:44" x14ac:dyDescent="0.2">
      <c r="A118" s="3">
        <v>111</v>
      </c>
      <c r="B118" s="3" t="s">
        <v>148</v>
      </c>
      <c r="C118" s="3" t="s">
        <v>32</v>
      </c>
      <c r="D118" s="3">
        <v>0.2</v>
      </c>
      <c r="E118" s="3" t="s">
        <v>138</v>
      </c>
      <c r="F118" s="4">
        <v>291.8</v>
      </c>
      <c r="G118" s="4">
        <v>178</v>
      </c>
      <c r="H118" s="4">
        <v>113.8</v>
      </c>
      <c r="I118" s="4">
        <v>120</v>
      </c>
      <c r="J118" s="4">
        <v>27</v>
      </c>
      <c r="K118" s="4">
        <v>3.6</v>
      </c>
      <c r="L118" s="4">
        <v>0</v>
      </c>
      <c r="M118" s="4">
        <v>41.2</v>
      </c>
      <c r="N118" s="4">
        <v>28</v>
      </c>
      <c r="O118" s="4">
        <v>72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171.8</v>
      </c>
      <c r="Z118" s="4">
        <v>27</v>
      </c>
      <c r="AA118" s="4">
        <v>3.6</v>
      </c>
      <c r="AB118" s="4">
        <v>0</v>
      </c>
      <c r="AC118" s="4">
        <v>41.2</v>
      </c>
      <c r="AD118" s="4">
        <v>28</v>
      </c>
      <c r="AE118" s="4">
        <v>72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10">
        <f t="shared" si="4"/>
        <v>120</v>
      </c>
      <c r="AP118" s="10">
        <f t="shared" si="5"/>
        <v>171.8</v>
      </c>
      <c r="AQ118" s="1">
        <f t="shared" si="6"/>
        <v>291.8</v>
      </c>
      <c r="AR118" s="1">
        <f t="shared" si="7"/>
        <v>0</v>
      </c>
    </row>
    <row r="119" spans="1:44" x14ac:dyDescent="0.2">
      <c r="A119" s="3">
        <v>112</v>
      </c>
      <c r="B119" s="3" t="s">
        <v>149</v>
      </c>
      <c r="C119" s="3" t="s">
        <v>27</v>
      </c>
      <c r="D119" s="3">
        <v>0.5</v>
      </c>
      <c r="E119" s="3" t="s">
        <v>138</v>
      </c>
      <c r="F119" s="4">
        <v>729.5</v>
      </c>
      <c r="G119" s="4">
        <v>445</v>
      </c>
      <c r="H119" s="4">
        <v>284.5</v>
      </c>
      <c r="I119" s="4">
        <v>440.8</v>
      </c>
      <c r="J119" s="4">
        <v>180.9</v>
      </c>
      <c r="K119" s="4">
        <v>39.5</v>
      </c>
      <c r="L119" s="4">
        <v>0</v>
      </c>
      <c r="M119" s="4">
        <v>4.3</v>
      </c>
      <c r="N119" s="4">
        <v>28</v>
      </c>
      <c r="O119" s="4">
        <v>36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288.7</v>
      </c>
      <c r="Z119" s="4">
        <v>180.9</v>
      </c>
      <c r="AA119" s="4">
        <v>39.5</v>
      </c>
      <c r="AB119" s="4">
        <v>0</v>
      </c>
      <c r="AC119" s="4">
        <v>4.3</v>
      </c>
      <c r="AD119" s="4">
        <v>28</v>
      </c>
      <c r="AE119" s="4">
        <v>36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10">
        <f t="shared" si="4"/>
        <v>440.8</v>
      </c>
      <c r="AP119" s="10">
        <f t="shared" si="5"/>
        <v>288.70000000000005</v>
      </c>
      <c r="AQ119" s="1">
        <f t="shared" si="6"/>
        <v>729.5</v>
      </c>
      <c r="AR119" s="1">
        <f t="shared" si="7"/>
        <v>0</v>
      </c>
    </row>
    <row r="120" spans="1:44" x14ac:dyDescent="0.2">
      <c r="A120" s="3">
        <v>113</v>
      </c>
      <c r="B120" s="3" t="s">
        <v>150</v>
      </c>
      <c r="C120" s="3" t="s">
        <v>27</v>
      </c>
      <c r="D120" s="3">
        <v>0.25</v>
      </c>
      <c r="E120" s="3" t="s">
        <v>138</v>
      </c>
      <c r="F120" s="4">
        <v>364.75</v>
      </c>
      <c r="G120" s="4">
        <v>222.5</v>
      </c>
      <c r="H120" s="4">
        <v>142.25</v>
      </c>
      <c r="I120" s="4">
        <v>220</v>
      </c>
      <c r="J120" s="4">
        <v>149.21</v>
      </c>
      <c r="K120" s="4">
        <v>67.900000000000006</v>
      </c>
      <c r="L120" s="4">
        <v>0</v>
      </c>
      <c r="M120" s="4">
        <v>120</v>
      </c>
      <c r="N120" s="4">
        <v>633.63</v>
      </c>
      <c r="O120" s="4">
        <v>72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1042.74</v>
      </c>
      <c r="Z120" s="4">
        <v>149.21</v>
      </c>
      <c r="AA120" s="4">
        <v>67.900000000000006</v>
      </c>
      <c r="AB120" s="4">
        <v>0</v>
      </c>
      <c r="AC120" s="4">
        <v>120</v>
      </c>
      <c r="AD120" s="4">
        <v>633.63</v>
      </c>
      <c r="AE120" s="4">
        <v>72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10">
        <f t="shared" si="4"/>
        <v>220</v>
      </c>
      <c r="AP120" s="10">
        <f t="shared" si="5"/>
        <v>1042.74</v>
      </c>
      <c r="AQ120" s="1">
        <f t="shared" si="6"/>
        <v>1262.74</v>
      </c>
      <c r="AR120" s="1">
        <f t="shared" si="7"/>
        <v>897.99</v>
      </c>
    </row>
    <row r="121" spans="1:44" x14ac:dyDescent="0.2">
      <c r="A121" s="3">
        <v>114</v>
      </c>
      <c r="B121" s="3" t="s">
        <v>150</v>
      </c>
      <c r="C121" s="3" t="s">
        <v>24</v>
      </c>
      <c r="D121" s="3">
        <v>1</v>
      </c>
      <c r="E121" s="3" t="s">
        <v>138</v>
      </c>
      <c r="F121" s="4">
        <v>1459</v>
      </c>
      <c r="G121" s="4">
        <v>890</v>
      </c>
      <c r="H121" s="4">
        <v>569</v>
      </c>
      <c r="I121" s="4">
        <v>783</v>
      </c>
      <c r="J121" s="4">
        <v>149.21</v>
      </c>
      <c r="K121" s="4">
        <v>67.900000000000006</v>
      </c>
      <c r="L121" s="4">
        <v>0</v>
      </c>
      <c r="M121" s="4">
        <v>120</v>
      </c>
      <c r="N121" s="4">
        <v>633.63</v>
      </c>
      <c r="O121" s="4">
        <v>72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1042.74</v>
      </c>
      <c r="Z121" s="4">
        <v>149.21</v>
      </c>
      <c r="AA121" s="4">
        <v>67.900000000000006</v>
      </c>
      <c r="AB121" s="4">
        <v>0</v>
      </c>
      <c r="AC121" s="4">
        <v>120</v>
      </c>
      <c r="AD121" s="4">
        <v>633.63</v>
      </c>
      <c r="AE121" s="4">
        <v>72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10">
        <f t="shared" si="4"/>
        <v>783</v>
      </c>
      <c r="AP121" s="10">
        <f t="shared" si="5"/>
        <v>1042.74</v>
      </c>
      <c r="AQ121" s="1">
        <f t="shared" si="6"/>
        <v>1825.74</v>
      </c>
      <c r="AR121" s="1">
        <f t="shared" si="7"/>
        <v>366.74</v>
      </c>
    </row>
    <row r="122" spans="1:44" x14ac:dyDescent="0.2">
      <c r="A122" s="3">
        <v>115</v>
      </c>
      <c r="B122" s="3" t="s">
        <v>151</v>
      </c>
      <c r="C122" s="3" t="s">
        <v>36</v>
      </c>
      <c r="D122" s="3">
        <v>0.25</v>
      </c>
      <c r="E122" s="3" t="s">
        <v>138</v>
      </c>
      <c r="F122" s="4">
        <v>364.75</v>
      </c>
      <c r="G122" s="4">
        <v>222.5</v>
      </c>
      <c r="H122" s="4">
        <v>142.25</v>
      </c>
      <c r="I122" s="4">
        <v>0</v>
      </c>
      <c r="J122" s="4"/>
      <c r="K122" s="4"/>
      <c r="L122" s="4"/>
      <c r="M122" s="4"/>
      <c r="N122" s="4"/>
      <c r="O122" s="4"/>
      <c r="P122" s="4"/>
      <c r="Q122" s="4">
        <v>0</v>
      </c>
      <c r="R122" s="4"/>
      <c r="S122" s="4"/>
      <c r="T122" s="4"/>
      <c r="U122" s="4"/>
      <c r="V122" s="4"/>
      <c r="W122" s="4"/>
      <c r="X122" s="4"/>
      <c r="Y122" s="4">
        <v>0</v>
      </c>
      <c r="Z122" s="4"/>
      <c r="AA122" s="4"/>
      <c r="AB122" s="4"/>
      <c r="AC122" s="4"/>
      <c r="AD122" s="4"/>
      <c r="AE122" s="4"/>
      <c r="AF122" s="4"/>
      <c r="AG122" s="4">
        <v>0</v>
      </c>
      <c r="AH122" s="4"/>
      <c r="AI122" s="4"/>
      <c r="AJ122" s="4"/>
      <c r="AK122" s="4"/>
      <c r="AL122" s="4"/>
      <c r="AM122" s="4"/>
      <c r="AN122" s="4"/>
      <c r="AO122" s="10">
        <f t="shared" si="4"/>
        <v>0</v>
      </c>
      <c r="AP122" s="10">
        <f t="shared" si="5"/>
        <v>0</v>
      </c>
      <c r="AQ122" s="1">
        <f t="shared" si="6"/>
        <v>0</v>
      </c>
      <c r="AR122" s="1">
        <f t="shared" si="7"/>
        <v>-364.75</v>
      </c>
    </row>
    <row r="123" spans="1:44" x14ac:dyDescent="0.2">
      <c r="A123" s="3">
        <v>116</v>
      </c>
      <c r="B123" s="3" t="s">
        <v>152</v>
      </c>
      <c r="C123" s="3" t="s">
        <v>27</v>
      </c>
      <c r="D123" s="3">
        <v>0.4</v>
      </c>
      <c r="E123" s="3" t="s">
        <v>138</v>
      </c>
      <c r="F123" s="4">
        <v>583.6</v>
      </c>
      <c r="G123" s="4">
        <v>356</v>
      </c>
      <c r="H123" s="4">
        <v>227.6</v>
      </c>
      <c r="I123" s="4">
        <v>339</v>
      </c>
      <c r="J123" s="4">
        <v>31.81</v>
      </c>
      <c r="K123" s="4">
        <v>22.8</v>
      </c>
      <c r="L123" s="4">
        <v>0</v>
      </c>
      <c r="M123" s="4">
        <v>90</v>
      </c>
      <c r="N123" s="4">
        <v>27.99</v>
      </c>
      <c r="O123" s="4">
        <v>72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244.6</v>
      </c>
      <c r="Z123" s="4">
        <v>31.81</v>
      </c>
      <c r="AA123" s="4">
        <v>22.8</v>
      </c>
      <c r="AB123" s="4">
        <v>0</v>
      </c>
      <c r="AC123" s="4">
        <v>90</v>
      </c>
      <c r="AD123" s="4">
        <v>27.99</v>
      </c>
      <c r="AE123" s="4">
        <v>72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10">
        <f t="shared" si="4"/>
        <v>339</v>
      </c>
      <c r="AP123" s="10">
        <f t="shared" si="5"/>
        <v>244.60000000000002</v>
      </c>
      <c r="AQ123" s="1">
        <f t="shared" si="6"/>
        <v>583.6</v>
      </c>
      <c r="AR123" s="1">
        <f t="shared" si="7"/>
        <v>0</v>
      </c>
    </row>
    <row r="124" spans="1:44" x14ac:dyDescent="0.2">
      <c r="A124" s="3">
        <v>117</v>
      </c>
      <c r="B124" s="3" t="s">
        <v>153</v>
      </c>
      <c r="C124" s="3" t="s">
        <v>32</v>
      </c>
      <c r="D124" s="3">
        <v>0.5</v>
      </c>
      <c r="E124" s="3" t="s">
        <v>138</v>
      </c>
      <c r="F124" s="4">
        <v>729.5</v>
      </c>
      <c r="G124" s="4">
        <v>445</v>
      </c>
      <c r="H124" s="4">
        <v>284.5</v>
      </c>
      <c r="I124" s="4">
        <v>376</v>
      </c>
      <c r="J124" s="4">
        <v>63.5</v>
      </c>
      <c r="K124" s="4">
        <v>34.200000000000003</v>
      </c>
      <c r="L124" s="4">
        <v>0</v>
      </c>
      <c r="M124" s="4">
        <v>160</v>
      </c>
      <c r="N124" s="4">
        <v>23.8</v>
      </c>
      <c r="O124" s="4">
        <v>72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353.5</v>
      </c>
      <c r="Z124" s="4">
        <v>63.5</v>
      </c>
      <c r="AA124" s="4">
        <v>34.200000000000003</v>
      </c>
      <c r="AB124" s="4">
        <v>0</v>
      </c>
      <c r="AC124" s="4">
        <v>160</v>
      </c>
      <c r="AD124" s="4">
        <v>23.8</v>
      </c>
      <c r="AE124" s="4">
        <v>72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10">
        <f t="shared" si="4"/>
        <v>376</v>
      </c>
      <c r="AP124" s="10">
        <f t="shared" si="5"/>
        <v>353.5</v>
      </c>
      <c r="AQ124" s="1">
        <f t="shared" si="6"/>
        <v>729.5</v>
      </c>
      <c r="AR124" s="1">
        <f t="shared" si="7"/>
        <v>0</v>
      </c>
    </row>
    <row r="125" spans="1:44" x14ac:dyDescent="0.2">
      <c r="A125" s="3">
        <v>118</v>
      </c>
      <c r="B125" s="3" t="s">
        <v>154</v>
      </c>
      <c r="C125" s="3" t="s">
        <v>32</v>
      </c>
      <c r="D125" s="3">
        <v>1</v>
      </c>
      <c r="E125" s="3" t="s">
        <v>138</v>
      </c>
      <c r="F125" s="4">
        <v>1459</v>
      </c>
      <c r="G125" s="4">
        <v>890</v>
      </c>
      <c r="H125" s="4">
        <v>569</v>
      </c>
      <c r="I125" s="4">
        <v>889.27</v>
      </c>
      <c r="J125" s="4">
        <v>194.44</v>
      </c>
      <c r="K125" s="4">
        <v>54.3</v>
      </c>
      <c r="L125" s="4">
        <v>0</v>
      </c>
      <c r="M125" s="4">
        <v>195</v>
      </c>
      <c r="N125" s="4">
        <v>107.99</v>
      </c>
      <c r="O125" s="4">
        <v>18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569.73</v>
      </c>
      <c r="Z125" s="4">
        <v>194.44</v>
      </c>
      <c r="AA125" s="4">
        <v>54.3</v>
      </c>
      <c r="AB125" s="4">
        <v>0</v>
      </c>
      <c r="AC125" s="4">
        <v>195</v>
      </c>
      <c r="AD125" s="4">
        <v>107.99</v>
      </c>
      <c r="AE125" s="4">
        <v>18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10">
        <f t="shared" si="4"/>
        <v>889.27</v>
      </c>
      <c r="AP125" s="10">
        <f t="shared" si="5"/>
        <v>569.73</v>
      </c>
      <c r="AQ125" s="1">
        <f t="shared" si="6"/>
        <v>1459</v>
      </c>
      <c r="AR125" s="1">
        <f t="shared" si="7"/>
        <v>0</v>
      </c>
    </row>
    <row r="126" spans="1:44" x14ac:dyDescent="0.2">
      <c r="A126" s="3">
        <v>119</v>
      </c>
      <c r="B126" s="3" t="s">
        <v>155</v>
      </c>
      <c r="C126" s="3" t="s">
        <v>32</v>
      </c>
      <c r="D126" s="3">
        <v>0.2</v>
      </c>
      <c r="E126" s="3" t="s">
        <v>138</v>
      </c>
      <c r="F126" s="4">
        <v>291.8</v>
      </c>
      <c r="G126" s="4">
        <v>178</v>
      </c>
      <c r="H126" s="4">
        <v>113.8</v>
      </c>
      <c r="I126" s="4">
        <v>80</v>
      </c>
      <c r="J126" s="4"/>
      <c r="K126" s="4"/>
      <c r="L126" s="4"/>
      <c r="M126" s="4"/>
      <c r="N126" s="4"/>
      <c r="O126" s="4"/>
      <c r="P126" s="4"/>
      <c r="Q126" s="4">
        <v>0</v>
      </c>
      <c r="R126" s="4"/>
      <c r="S126" s="4"/>
      <c r="T126" s="4"/>
      <c r="U126" s="4"/>
      <c r="V126" s="4"/>
      <c r="W126" s="4"/>
      <c r="X126" s="4"/>
      <c r="Y126" s="4">
        <v>0</v>
      </c>
      <c r="Z126" s="4"/>
      <c r="AA126" s="4"/>
      <c r="AB126" s="4"/>
      <c r="AC126" s="4"/>
      <c r="AD126" s="4"/>
      <c r="AE126" s="4"/>
      <c r="AF126" s="4"/>
      <c r="AG126" s="4">
        <v>0</v>
      </c>
      <c r="AH126" s="4"/>
      <c r="AI126" s="4"/>
      <c r="AJ126" s="4"/>
      <c r="AK126" s="4"/>
      <c r="AL126" s="4"/>
      <c r="AM126" s="4"/>
      <c r="AN126" s="4"/>
      <c r="AO126" s="10">
        <f t="shared" si="4"/>
        <v>80</v>
      </c>
      <c r="AP126" s="10">
        <f t="shared" si="5"/>
        <v>0</v>
      </c>
      <c r="AQ126" s="1">
        <f t="shared" si="6"/>
        <v>80</v>
      </c>
      <c r="AR126" s="1">
        <f t="shared" si="7"/>
        <v>-211.8</v>
      </c>
    </row>
    <row r="127" spans="1:44" x14ac:dyDescent="0.2">
      <c r="A127" s="3">
        <v>120</v>
      </c>
      <c r="B127" s="3" t="s">
        <v>156</v>
      </c>
      <c r="C127" s="3" t="s">
        <v>27</v>
      </c>
      <c r="D127" s="3">
        <v>1.5</v>
      </c>
      <c r="E127" s="3" t="s">
        <v>138</v>
      </c>
      <c r="F127" s="4">
        <v>2188.5</v>
      </c>
      <c r="G127" s="4">
        <v>1335</v>
      </c>
      <c r="H127" s="4">
        <v>853.5</v>
      </c>
      <c r="I127" s="4">
        <v>1277</v>
      </c>
      <c r="J127" s="4">
        <v>178.31</v>
      </c>
      <c r="K127" s="4">
        <v>76.099999999999994</v>
      </c>
      <c r="L127" s="4">
        <v>0</v>
      </c>
      <c r="M127" s="4">
        <v>555</v>
      </c>
      <c r="N127" s="4">
        <v>27.1</v>
      </c>
      <c r="O127" s="4">
        <v>72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908.51</v>
      </c>
      <c r="Z127" s="4">
        <v>178.31</v>
      </c>
      <c r="AA127" s="4">
        <v>76.099999999999994</v>
      </c>
      <c r="AB127" s="4">
        <v>0</v>
      </c>
      <c r="AC127" s="4">
        <v>555</v>
      </c>
      <c r="AD127" s="4">
        <v>27.1</v>
      </c>
      <c r="AE127" s="4">
        <v>72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10">
        <f t="shared" si="4"/>
        <v>1277</v>
      </c>
      <c r="AP127" s="10">
        <f t="shared" si="5"/>
        <v>908.51</v>
      </c>
      <c r="AQ127" s="1">
        <f t="shared" si="6"/>
        <v>2185.5100000000002</v>
      </c>
      <c r="AR127" s="1">
        <f t="shared" si="7"/>
        <v>-2.9899999999997817</v>
      </c>
    </row>
    <row r="128" spans="1:44" x14ac:dyDescent="0.2">
      <c r="A128" s="3">
        <v>121</v>
      </c>
      <c r="B128" s="3" t="s">
        <v>157</v>
      </c>
      <c r="C128" s="3" t="s">
        <v>27</v>
      </c>
      <c r="D128" s="3">
        <v>0.5</v>
      </c>
      <c r="E128" s="3" t="s">
        <v>138</v>
      </c>
      <c r="F128" s="4">
        <v>729.5</v>
      </c>
      <c r="G128" s="4">
        <v>445</v>
      </c>
      <c r="H128" s="4">
        <v>284.5</v>
      </c>
      <c r="I128" s="4">
        <v>423</v>
      </c>
      <c r="J128" s="4">
        <v>103.3</v>
      </c>
      <c r="K128" s="4">
        <v>2</v>
      </c>
      <c r="L128" s="4">
        <v>0</v>
      </c>
      <c r="M128" s="4">
        <v>100</v>
      </c>
      <c r="N128" s="4">
        <v>27.2</v>
      </c>
      <c r="O128" s="4">
        <v>72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304.5</v>
      </c>
      <c r="Z128" s="4">
        <v>103.3</v>
      </c>
      <c r="AA128" s="4">
        <v>2</v>
      </c>
      <c r="AB128" s="4">
        <v>0</v>
      </c>
      <c r="AC128" s="4">
        <v>100</v>
      </c>
      <c r="AD128" s="4">
        <v>27.2</v>
      </c>
      <c r="AE128" s="4">
        <v>72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10">
        <f t="shared" si="4"/>
        <v>423</v>
      </c>
      <c r="AP128" s="10">
        <f t="shared" si="5"/>
        <v>304.5</v>
      </c>
      <c r="AQ128" s="1">
        <f t="shared" si="6"/>
        <v>727.5</v>
      </c>
      <c r="AR128" s="1">
        <f t="shared" si="7"/>
        <v>-2</v>
      </c>
    </row>
    <row r="129" spans="1:44" x14ac:dyDescent="0.2">
      <c r="A129" s="3">
        <v>122</v>
      </c>
      <c r="B129" s="3" t="s">
        <v>158</v>
      </c>
      <c r="C129" s="3" t="s">
        <v>36</v>
      </c>
      <c r="D129" s="3">
        <v>1</v>
      </c>
      <c r="E129" s="3" t="s">
        <v>138</v>
      </c>
      <c r="F129" s="4">
        <v>1459</v>
      </c>
      <c r="G129" s="4">
        <v>890</v>
      </c>
      <c r="H129" s="4">
        <v>569</v>
      </c>
      <c r="I129" s="4">
        <v>881</v>
      </c>
      <c r="J129" s="4">
        <v>70</v>
      </c>
      <c r="K129" s="4">
        <v>400</v>
      </c>
      <c r="L129" s="4">
        <v>0</v>
      </c>
      <c r="M129" s="4">
        <v>0</v>
      </c>
      <c r="N129" s="4">
        <v>108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578</v>
      </c>
      <c r="Z129" s="4">
        <v>70</v>
      </c>
      <c r="AA129" s="4">
        <v>400</v>
      </c>
      <c r="AB129" s="4">
        <v>0</v>
      </c>
      <c r="AC129" s="4">
        <v>0</v>
      </c>
      <c r="AD129" s="4">
        <v>108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10">
        <f t="shared" si="4"/>
        <v>881</v>
      </c>
      <c r="AP129" s="10">
        <f t="shared" si="5"/>
        <v>578</v>
      </c>
      <c r="AQ129" s="1">
        <f t="shared" si="6"/>
        <v>1459</v>
      </c>
      <c r="AR129" s="1">
        <f t="shared" si="7"/>
        <v>0</v>
      </c>
    </row>
    <row r="130" spans="1:44" x14ac:dyDescent="0.2">
      <c r="A130" s="3">
        <v>123</v>
      </c>
      <c r="B130" s="3" t="s">
        <v>159</v>
      </c>
      <c r="C130" s="3" t="s">
        <v>48</v>
      </c>
      <c r="D130" s="3">
        <v>0.5</v>
      </c>
      <c r="E130" s="3" t="s">
        <v>138</v>
      </c>
      <c r="F130" s="4">
        <v>729.5</v>
      </c>
      <c r="G130" s="4">
        <v>445</v>
      </c>
      <c r="H130" s="4">
        <v>284.5</v>
      </c>
      <c r="I130" s="4">
        <v>445</v>
      </c>
      <c r="J130" s="4">
        <v>94.5</v>
      </c>
      <c r="K130" s="4">
        <v>71.400000000000006</v>
      </c>
      <c r="L130" s="4">
        <v>0</v>
      </c>
      <c r="M130" s="4">
        <v>95</v>
      </c>
      <c r="N130" s="4">
        <v>23.6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284.5</v>
      </c>
      <c r="Z130" s="4">
        <v>94.5</v>
      </c>
      <c r="AA130" s="4">
        <v>71.400000000000006</v>
      </c>
      <c r="AB130" s="4">
        <v>0</v>
      </c>
      <c r="AC130" s="4">
        <v>95</v>
      </c>
      <c r="AD130" s="4">
        <v>23.6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10">
        <f t="shared" si="4"/>
        <v>445</v>
      </c>
      <c r="AP130" s="10">
        <f t="shared" si="5"/>
        <v>284.5</v>
      </c>
      <c r="AQ130" s="1">
        <f t="shared" si="6"/>
        <v>729.5</v>
      </c>
      <c r="AR130" s="1">
        <f t="shared" si="7"/>
        <v>0</v>
      </c>
    </row>
    <row r="131" spans="1:44" x14ac:dyDescent="0.2">
      <c r="A131" s="3">
        <v>124</v>
      </c>
      <c r="B131" s="3" t="s">
        <v>160</v>
      </c>
      <c r="C131" s="3" t="s">
        <v>36</v>
      </c>
      <c r="D131" s="3">
        <v>0.5</v>
      </c>
      <c r="E131" s="3" t="s">
        <v>138</v>
      </c>
      <c r="F131" s="4">
        <v>729.5</v>
      </c>
      <c r="G131" s="4">
        <v>445</v>
      </c>
      <c r="H131" s="4">
        <v>284.5</v>
      </c>
      <c r="I131" s="4">
        <v>420</v>
      </c>
      <c r="J131" s="4">
        <v>21.01</v>
      </c>
      <c r="K131" s="4">
        <v>0</v>
      </c>
      <c r="L131" s="4">
        <v>0</v>
      </c>
      <c r="M131" s="4">
        <v>0</v>
      </c>
      <c r="N131" s="4">
        <v>216.49</v>
      </c>
      <c r="O131" s="4">
        <v>72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309.5</v>
      </c>
      <c r="Z131" s="4">
        <v>21.01</v>
      </c>
      <c r="AA131" s="4">
        <v>0</v>
      </c>
      <c r="AB131" s="4">
        <v>0</v>
      </c>
      <c r="AC131" s="4">
        <v>0</v>
      </c>
      <c r="AD131" s="4">
        <v>216.49</v>
      </c>
      <c r="AE131" s="4">
        <v>72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10">
        <f t="shared" si="4"/>
        <v>420</v>
      </c>
      <c r="AP131" s="10">
        <f t="shared" si="5"/>
        <v>309.5</v>
      </c>
      <c r="AQ131" s="1">
        <f t="shared" si="6"/>
        <v>729.5</v>
      </c>
      <c r="AR131" s="1">
        <f t="shared" si="7"/>
        <v>0</v>
      </c>
    </row>
    <row r="132" spans="1:44" x14ac:dyDescent="0.2">
      <c r="A132" s="3">
        <v>125</v>
      </c>
      <c r="B132" s="3" t="s">
        <v>161</v>
      </c>
      <c r="C132" s="3" t="s">
        <v>36</v>
      </c>
      <c r="D132" s="3">
        <v>0.25</v>
      </c>
      <c r="E132" s="3" t="s">
        <v>138</v>
      </c>
      <c r="F132" s="4">
        <v>364.75</v>
      </c>
      <c r="G132" s="4">
        <v>222.5</v>
      </c>
      <c r="H132" s="4">
        <v>142.25</v>
      </c>
      <c r="I132" s="4">
        <v>140</v>
      </c>
      <c r="J132" s="4"/>
      <c r="K132" s="4"/>
      <c r="L132" s="4"/>
      <c r="M132" s="4"/>
      <c r="N132" s="4"/>
      <c r="O132" s="4"/>
      <c r="P132" s="4"/>
      <c r="Q132" s="4">
        <v>0</v>
      </c>
      <c r="R132" s="4"/>
      <c r="S132" s="4"/>
      <c r="T132" s="4"/>
      <c r="U132" s="4"/>
      <c r="V132" s="4"/>
      <c r="W132" s="4"/>
      <c r="X132" s="4"/>
      <c r="Y132" s="4">
        <v>0</v>
      </c>
      <c r="Z132" s="4"/>
      <c r="AA132" s="4"/>
      <c r="AB132" s="4"/>
      <c r="AC132" s="4"/>
      <c r="AD132" s="4"/>
      <c r="AE132" s="4"/>
      <c r="AF132" s="4"/>
      <c r="AG132" s="4">
        <v>0</v>
      </c>
      <c r="AH132" s="4"/>
      <c r="AI132" s="4"/>
      <c r="AJ132" s="4"/>
      <c r="AK132" s="4"/>
      <c r="AL132" s="4"/>
      <c r="AM132" s="4"/>
      <c r="AN132" s="4"/>
      <c r="AO132" s="10">
        <f t="shared" si="4"/>
        <v>140</v>
      </c>
      <c r="AP132" s="10">
        <f t="shared" si="5"/>
        <v>0</v>
      </c>
      <c r="AQ132" s="1">
        <f t="shared" si="6"/>
        <v>140</v>
      </c>
      <c r="AR132" s="1">
        <f t="shared" si="7"/>
        <v>-224.75</v>
      </c>
    </row>
    <row r="133" spans="1:44" x14ac:dyDescent="0.2">
      <c r="A133" s="3">
        <v>126</v>
      </c>
      <c r="B133" s="3" t="s">
        <v>162</v>
      </c>
      <c r="C133" s="3" t="s">
        <v>27</v>
      </c>
      <c r="D133" s="3">
        <v>1.25</v>
      </c>
      <c r="E133" s="3" t="s">
        <v>138</v>
      </c>
      <c r="F133" s="4">
        <v>1823.75</v>
      </c>
      <c r="G133" s="4">
        <v>1112.5</v>
      </c>
      <c r="H133" s="4">
        <v>711.25</v>
      </c>
      <c r="I133" s="4">
        <v>1064.21</v>
      </c>
      <c r="J133" s="4">
        <v>169.15</v>
      </c>
      <c r="K133" s="4">
        <v>60.4</v>
      </c>
      <c r="L133" s="4">
        <v>0</v>
      </c>
      <c r="M133" s="4">
        <v>430</v>
      </c>
      <c r="N133" s="4">
        <v>28</v>
      </c>
      <c r="O133" s="4">
        <v>72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759.55</v>
      </c>
      <c r="Z133" s="4">
        <v>169.15</v>
      </c>
      <c r="AA133" s="4">
        <v>60.4</v>
      </c>
      <c r="AB133" s="4">
        <v>0</v>
      </c>
      <c r="AC133" s="4">
        <v>430</v>
      </c>
      <c r="AD133" s="4">
        <v>28</v>
      </c>
      <c r="AE133" s="4">
        <v>72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10">
        <f t="shared" si="4"/>
        <v>1064.21</v>
      </c>
      <c r="AP133" s="10">
        <f t="shared" si="5"/>
        <v>759.55</v>
      </c>
      <c r="AQ133" s="1">
        <f t="shared" si="6"/>
        <v>1823.76</v>
      </c>
      <c r="AR133" s="1">
        <f t="shared" si="7"/>
        <v>9.9999999999909051E-3</v>
      </c>
    </row>
    <row r="134" spans="1:44" x14ac:dyDescent="0.2">
      <c r="A134" s="3">
        <v>127</v>
      </c>
      <c r="B134" s="3" t="s">
        <v>163</v>
      </c>
      <c r="C134" s="3" t="s">
        <v>27</v>
      </c>
      <c r="D134" s="3">
        <v>0.25</v>
      </c>
      <c r="E134" s="3" t="s">
        <v>138</v>
      </c>
      <c r="F134" s="4">
        <v>364.75</v>
      </c>
      <c r="G134" s="4">
        <v>222.5</v>
      </c>
      <c r="H134" s="4">
        <v>142.25</v>
      </c>
      <c r="I134" s="4">
        <v>222.5</v>
      </c>
      <c r="J134" s="4">
        <v>25.25</v>
      </c>
      <c r="K134" s="4">
        <v>8</v>
      </c>
      <c r="L134" s="4">
        <v>0</v>
      </c>
      <c r="M134" s="4">
        <v>81</v>
      </c>
      <c r="N134" s="4">
        <v>28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142.25</v>
      </c>
      <c r="Z134" s="4">
        <v>25.25</v>
      </c>
      <c r="AA134" s="4">
        <v>8</v>
      </c>
      <c r="AB134" s="4">
        <v>0</v>
      </c>
      <c r="AC134" s="4">
        <v>81</v>
      </c>
      <c r="AD134" s="4">
        <v>28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10">
        <f t="shared" si="4"/>
        <v>222.5</v>
      </c>
      <c r="AP134" s="10">
        <f t="shared" si="5"/>
        <v>142.25</v>
      </c>
      <c r="AQ134" s="1">
        <f t="shared" si="6"/>
        <v>364.75</v>
      </c>
      <c r="AR134" s="1">
        <f t="shared" si="7"/>
        <v>0</v>
      </c>
    </row>
    <row r="135" spans="1:44" x14ac:dyDescent="0.2">
      <c r="A135" s="3">
        <v>128</v>
      </c>
      <c r="B135" s="3" t="s">
        <v>164</v>
      </c>
      <c r="C135" s="3" t="s">
        <v>32</v>
      </c>
      <c r="D135" s="3">
        <v>0.5</v>
      </c>
      <c r="E135" s="3" t="s">
        <v>138</v>
      </c>
      <c r="F135" s="4">
        <v>729.5</v>
      </c>
      <c r="G135" s="4">
        <v>445</v>
      </c>
      <c r="H135" s="4">
        <v>284.5</v>
      </c>
      <c r="I135" s="4">
        <v>442</v>
      </c>
      <c r="J135" s="4">
        <v>97</v>
      </c>
      <c r="K135" s="4">
        <v>22.7</v>
      </c>
      <c r="L135" s="4">
        <v>0</v>
      </c>
      <c r="M135" s="4">
        <v>70.8</v>
      </c>
      <c r="N135" s="4">
        <v>28</v>
      </c>
      <c r="O135" s="4">
        <v>72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290.5</v>
      </c>
      <c r="Z135" s="4">
        <v>97</v>
      </c>
      <c r="AA135" s="4">
        <v>22.7</v>
      </c>
      <c r="AB135" s="4">
        <v>0</v>
      </c>
      <c r="AC135" s="4">
        <v>70.8</v>
      </c>
      <c r="AD135" s="4">
        <v>28</v>
      </c>
      <c r="AE135" s="4">
        <v>72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10">
        <f t="shared" si="4"/>
        <v>442</v>
      </c>
      <c r="AP135" s="10">
        <f t="shared" si="5"/>
        <v>290.5</v>
      </c>
      <c r="AQ135" s="1">
        <f t="shared" si="6"/>
        <v>732.5</v>
      </c>
      <c r="AR135" s="1">
        <f t="shared" si="7"/>
        <v>3</v>
      </c>
    </row>
    <row r="136" spans="1:44" x14ac:dyDescent="0.2">
      <c r="A136" s="3">
        <v>129</v>
      </c>
      <c r="B136" s="3" t="s">
        <v>165</v>
      </c>
      <c r="C136" s="3" t="s">
        <v>27</v>
      </c>
      <c r="D136" s="3">
        <v>1.25</v>
      </c>
      <c r="E136" s="3" t="s">
        <v>138</v>
      </c>
      <c r="F136" s="4">
        <v>1823.75</v>
      </c>
      <c r="G136" s="4">
        <v>1112.5</v>
      </c>
      <c r="H136" s="4">
        <v>711.25</v>
      </c>
      <c r="I136" s="4">
        <v>1047.2</v>
      </c>
      <c r="J136" s="4">
        <v>189.56</v>
      </c>
      <c r="K136" s="4">
        <v>74</v>
      </c>
      <c r="L136" s="4">
        <v>57</v>
      </c>
      <c r="M136" s="4">
        <v>400</v>
      </c>
      <c r="N136" s="4">
        <v>28</v>
      </c>
      <c r="O136" s="4">
        <v>72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776.56</v>
      </c>
      <c r="Z136" s="4">
        <v>189.56</v>
      </c>
      <c r="AA136" s="4">
        <v>74</v>
      </c>
      <c r="AB136" s="4">
        <v>13</v>
      </c>
      <c r="AC136" s="4">
        <v>400</v>
      </c>
      <c r="AD136" s="4">
        <v>28</v>
      </c>
      <c r="AE136" s="4">
        <v>72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10">
        <f t="shared" si="4"/>
        <v>1047.2</v>
      </c>
      <c r="AP136" s="10">
        <f t="shared" si="5"/>
        <v>820.56</v>
      </c>
      <c r="AQ136" s="1">
        <f t="shared" si="6"/>
        <v>1867.76</v>
      </c>
      <c r="AR136" s="1">
        <f t="shared" si="7"/>
        <v>44.009999999999991</v>
      </c>
    </row>
    <row r="137" spans="1:44" x14ac:dyDescent="0.2">
      <c r="A137" s="3">
        <v>130</v>
      </c>
      <c r="B137" s="3" t="s">
        <v>166</v>
      </c>
      <c r="C137" s="3" t="s">
        <v>36</v>
      </c>
      <c r="D137" s="3">
        <v>0.5</v>
      </c>
      <c r="E137" s="3" t="s">
        <v>138</v>
      </c>
      <c r="F137" s="4">
        <v>729.5</v>
      </c>
      <c r="G137" s="4">
        <v>445</v>
      </c>
      <c r="H137" s="4">
        <v>284.5</v>
      </c>
      <c r="I137" s="4">
        <v>445</v>
      </c>
      <c r="J137" s="4">
        <v>89.21</v>
      </c>
      <c r="K137" s="4">
        <v>5</v>
      </c>
      <c r="L137" s="4">
        <v>0</v>
      </c>
      <c r="M137" s="4">
        <v>0</v>
      </c>
      <c r="N137" s="4">
        <v>132</v>
      </c>
      <c r="O137" s="4">
        <v>58.3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284.51</v>
      </c>
      <c r="Z137" s="4">
        <v>89.21</v>
      </c>
      <c r="AA137" s="4">
        <v>5</v>
      </c>
      <c r="AB137" s="4">
        <v>0</v>
      </c>
      <c r="AC137" s="4">
        <v>0</v>
      </c>
      <c r="AD137" s="4">
        <v>132</v>
      </c>
      <c r="AE137" s="4">
        <v>58.3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10">
        <f t="shared" si="4"/>
        <v>445</v>
      </c>
      <c r="AP137" s="10">
        <f t="shared" si="5"/>
        <v>284.51</v>
      </c>
      <c r="AQ137" s="1">
        <f t="shared" si="6"/>
        <v>729.51</v>
      </c>
      <c r="AR137" s="1">
        <f t="shared" si="7"/>
        <v>9.9999999999909051E-3</v>
      </c>
    </row>
    <row r="138" spans="1:44" x14ac:dyDescent="0.2">
      <c r="A138" s="3">
        <v>131</v>
      </c>
      <c r="B138" s="3" t="s">
        <v>167</v>
      </c>
      <c r="C138" s="3" t="s">
        <v>32</v>
      </c>
      <c r="D138" s="3">
        <v>0.25</v>
      </c>
      <c r="E138" s="3" t="s">
        <v>138</v>
      </c>
      <c r="F138" s="4">
        <v>364.75</v>
      </c>
      <c r="G138" s="4">
        <v>222.5</v>
      </c>
      <c r="H138" s="4">
        <v>142.25</v>
      </c>
      <c r="I138" s="4">
        <v>120</v>
      </c>
      <c r="J138" s="4">
        <v>27</v>
      </c>
      <c r="K138" s="4">
        <v>5.4</v>
      </c>
      <c r="L138" s="4">
        <v>0</v>
      </c>
      <c r="M138" s="4">
        <v>112.35</v>
      </c>
      <c r="N138" s="4">
        <v>28</v>
      </c>
      <c r="O138" s="4">
        <v>72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244.75</v>
      </c>
      <c r="Z138" s="4">
        <v>27</v>
      </c>
      <c r="AA138" s="4">
        <v>5.4</v>
      </c>
      <c r="AB138" s="4">
        <v>0</v>
      </c>
      <c r="AC138" s="4">
        <v>112.35</v>
      </c>
      <c r="AD138" s="4">
        <v>28</v>
      </c>
      <c r="AE138" s="4">
        <v>72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10">
        <f t="shared" ref="AO138:AO201" si="8">I138</f>
        <v>120</v>
      </c>
      <c r="AP138" s="10">
        <f t="shared" ref="AP138:AP201" si="9">SUM(J138:P138)</f>
        <v>244.75</v>
      </c>
      <c r="AQ138" s="1">
        <f t="shared" ref="AQ138:AQ201" si="10">AO138+AP138</f>
        <v>364.75</v>
      </c>
      <c r="AR138" s="1">
        <f t="shared" ref="AR138:AR201" si="11">AQ138-F138</f>
        <v>0</v>
      </c>
    </row>
    <row r="139" spans="1:44" x14ac:dyDescent="0.2">
      <c r="A139" s="3">
        <v>132</v>
      </c>
      <c r="B139" s="3" t="s">
        <v>168</v>
      </c>
      <c r="C139" s="3" t="s">
        <v>27</v>
      </c>
      <c r="D139" s="3">
        <v>1.25</v>
      </c>
      <c r="E139" s="3" t="s">
        <v>138</v>
      </c>
      <c r="F139" s="4">
        <v>1823.75</v>
      </c>
      <c r="G139" s="4">
        <v>1112.5</v>
      </c>
      <c r="H139" s="4">
        <v>711.25</v>
      </c>
      <c r="I139" s="4">
        <v>1068.5</v>
      </c>
      <c r="J139" s="4">
        <v>273.51</v>
      </c>
      <c r="K139" s="4">
        <v>29.4</v>
      </c>
      <c r="L139" s="4">
        <v>0</v>
      </c>
      <c r="M139" s="4">
        <v>193.59</v>
      </c>
      <c r="N139" s="4">
        <v>28</v>
      </c>
      <c r="O139" s="4">
        <v>72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596.5</v>
      </c>
      <c r="Z139" s="4">
        <v>273.51</v>
      </c>
      <c r="AA139" s="4">
        <v>29.4</v>
      </c>
      <c r="AB139" s="4">
        <v>0</v>
      </c>
      <c r="AC139" s="4">
        <v>193.59</v>
      </c>
      <c r="AD139" s="4">
        <v>28</v>
      </c>
      <c r="AE139" s="4">
        <v>72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10">
        <f t="shared" si="8"/>
        <v>1068.5</v>
      </c>
      <c r="AP139" s="10">
        <f t="shared" si="9"/>
        <v>596.5</v>
      </c>
      <c r="AQ139" s="1">
        <f t="shared" si="10"/>
        <v>1665</v>
      </c>
      <c r="AR139" s="1">
        <f t="shared" si="11"/>
        <v>-158.75</v>
      </c>
    </row>
    <row r="140" spans="1:44" x14ac:dyDescent="0.2">
      <c r="A140" s="3">
        <v>133</v>
      </c>
      <c r="B140" s="3" t="s">
        <v>169</v>
      </c>
      <c r="C140" s="3" t="s">
        <v>27</v>
      </c>
      <c r="D140" s="3">
        <v>0.4</v>
      </c>
      <c r="E140" s="3" t="s">
        <v>138</v>
      </c>
      <c r="F140" s="4">
        <v>583.6</v>
      </c>
      <c r="G140" s="4">
        <v>356</v>
      </c>
      <c r="H140" s="4">
        <v>227.6</v>
      </c>
      <c r="I140" s="4">
        <v>315.39</v>
      </c>
      <c r="J140" s="4">
        <v>65.510000000000005</v>
      </c>
      <c r="K140" s="4">
        <v>4</v>
      </c>
      <c r="L140" s="4">
        <v>0</v>
      </c>
      <c r="M140" s="4">
        <v>98.7</v>
      </c>
      <c r="N140" s="4">
        <v>28</v>
      </c>
      <c r="O140" s="4">
        <v>72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268.20999999999998</v>
      </c>
      <c r="Z140" s="4">
        <v>65.510000000000005</v>
      </c>
      <c r="AA140" s="4">
        <v>4</v>
      </c>
      <c r="AB140" s="4">
        <v>0</v>
      </c>
      <c r="AC140" s="4">
        <v>98.7</v>
      </c>
      <c r="AD140" s="4">
        <v>28</v>
      </c>
      <c r="AE140" s="4">
        <v>72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10">
        <f t="shared" si="8"/>
        <v>315.39</v>
      </c>
      <c r="AP140" s="10">
        <f t="shared" si="9"/>
        <v>268.21000000000004</v>
      </c>
      <c r="AQ140" s="1">
        <f t="shared" si="10"/>
        <v>583.6</v>
      </c>
      <c r="AR140" s="1">
        <f t="shared" si="11"/>
        <v>0</v>
      </c>
    </row>
    <row r="141" spans="1:44" x14ac:dyDescent="0.2">
      <c r="A141" s="3">
        <v>134</v>
      </c>
      <c r="B141" s="3" t="s">
        <v>170</v>
      </c>
      <c r="C141" s="3" t="s">
        <v>27</v>
      </c>
      <c r="D141" s="3">
        <v>0.4</v>
      </c>
      <c r="E141" s="3" t="s">
        <v>138</v>
      </c>
      <c r="F141" s="4">
        <v>583.6</v>
      </c>
      <c r="G141" s="4">
        <v>356</v>
      </c>
      <c r="H141" s="4">
        <v>227.6</v>
      </c>
      <c r="I141" s="4">
        <v>340</v>
      </c>
      <c r="J141" s="4">
        <v>81.489999999999995</v>
      </c>
      <c r="K141" s="4">
        <v>10</v>
      </c>
      <c r="L141" s="4">
        <v>0</v>
      </c>
      <c r="M141" s="4">
        <v>52.11</v>
      </c>
      <c r="N141" s="4">
        <v>28</v>
      </c>
      <c r="O141" s="4">
        <v>72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243.6</v>
      </c>
      <c r="Z141" s="4">
        <v>81.489999999999995</v>
      </c>
      <c r="AA141" s="4">
        <v>10</v>
      </c>
      <c r="AB141" s="4">
        <v>0</v>
      </c>
      <c r="AC141" s="4">
        <v>52.11</v>
      </c>
      <c r="AD141" s="4">
        <v>28</v>
      </c>
      <c r="AE141" s="4">
        <v>72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10">
        <f t="shared" si="8"/>
        <v>340</v>
      </c>
      <c r="AP141" s="10">
        <f t="shared" si="9"/>
        <v>243.6</v>
      </c>
      <c r="AQ141" s="1">
        <f t="shared" si="10"/>
        <v>583.6</v>
      </c>
      <c r="AR141" s="1">
        <f t="shared" si="11"/>
        <v>0</v>
      </c>
    </row>
    <row r="142" spans="1:44" x14ac:dyDescent="0.2">
      <c r="A142" s="3">
        <v>135</v>
      </c>
      <c r="B142" s="3" t="s">
        <v>171</v>
      </c>
      <c r="C142" s="3" t="s">
        <v>36</v>
      </c>
      <c r="D142" s="3">
        <v>0.5</v>
      </c>
      <c r="E142" s="3" t="s">
        <v>138</v>
      </c>
      <c r="F142" s="4">
        <v>729.5</v>
      </c>
      <c r="G142" s="4">
        <v>445</v>
      </c>
      <c r="H142" s="4">
        <v>284.5</v>
      </c>
      <c r="I142" s="4">
        <v>440</v>
      </c>
      <c r="J142" s="4">
        <v>35.4</v>
      </c>
      <c r="K142" s="4">
        <v>8.9</v>
      </c>
      <c r="L142" s="4">
        <v>0</v>
      </c>
      <c r="M142" s="4">
        <v>100</v>
      </c>
      <c r="N142" s="4">
        <v>38</v>
      </c>
      <c r="O142" s="4">
        <v>106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288.3</v>
      </c>
      <c r="Z142" s="4">
        <v>35.4</v>
      </c>
      <c r="AA142" s="4">
        <v>8.9</v>
      </c>
      <c r="AB142" s="4">
        <v>0</v>
      </c>
      <c r="AC142" s="4">
        <v>100</v>
      </c>
      <c r="AD142" s="4">
        <v>38</v>
      </c>
      <c r="AE142" s="4">
        <v>106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10">
        <f t="shared" si="8"/>
        <v>440</v>
      </c>
      <c r="AP142" s="10">
        <f t="shared" si="9"/>
        <v>288.3</v>
      </c>
      <c r="AQ142" s="1">
        <f t="shared" si="10"/>
        <v>728.3</v>
      </c>
      <c r="AR142" s="1">
        <f t="shared" si="11"/>
        <v>-1.2000000000000455</v>
      </c>
    </row>
    <row r="143" spans="1:44" x14ac:dyDescent="0.2">
      <c r="A143" s="3">
        <v>136</v>
      </c>
      <c r="B143" s="3" t="s">
        <v>172</v>
      </c>
      <c r="C143" s="3" t="s">
        <v>27</v>
      </c>
      <c r="D143" s="3">
        <v>1</v>
      </c>
      <c r="E143" s="3" t="s">
        <v>138</v>
      </c>
      <c r="F143" s="4">
        <v>1459</v>
      </c>
      <c r="G143" s="4">
        <v>890</v>
      </c>
      <c r="H143" s="4">
        <v>569</v>
      </c>
      <c r="I143" s="4">
        <v>307</v>
      </c>
      <c r="J143" s="4">
        <v>37</v>
      </c>
      <c r="K143" s="4">
        <v>16.899999999999999</v>
      </c>
      <c r="L143" s="4">
        <v>0</v>
      </c>
      <c r="M143" s="4">
        <v>130</v>
      </c>
      <c r="N143" s="4">
        <v>20.7</v>
      </c>
      <c r="O143" s="4">
        <v>72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276.60000000000002</v>
      </c>
      <c r="Z143" s="4">
        <v>37</v>
      </c>
      <c r="AA143" s="4">
        <v>16.899999999999999</v>
      </c>
      <c r="AB143" s="4">
        <v>0</v>
      </c>
      <c r="AC143" s="4">
        <v>130</v>
      </c>
      <c r="AD143" s="4">
        <v>20.7</v>
      </c>
      <c r="AE143" s="4">
        <v>72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10">
        <f t="shared" si="8"/>
        <v>307</v>
      </c>
      <c r="AP143" s="10">
        <f t="shared" si="9"/>
        <v>276.60000000000002</v>
      </c>
      <c r="AQ143" s="1">
        <f t="shared" si="10"/>
        <v>583.6</v>
      </c>
      <c r="AR143" s="1">
        <f t="shared" si="11"/>
        <v>-875.4</v>
      </c>
    </row>
    <row r="144" spans="1:44" x14ac:dyDescent="0.2">
      <c r="A144" s="3">
        <v>137</v>
      </c>
      <c r="B144" s="3" t="s">
        <v>173</v>
      </c>
      <c r="C144" s="3" t="s">
        <v>27</v>
      </c>
      <c r="D144" s="3">
        <v>0.5</v>
      </c>
      <c r="E144" s="3" t="s">
        <v>174</v>
      </c>
      <c r="F144" s="4">
        <v>729.5</v>
      </c>
      <c r="G144" s="4">
        <v>445</v>
      </c>
      <c r="H144" s="4">
        <v>284.5</v>
      </c>
      <c r="I144" s="4">
        <v>367</v>
      </c>
      <c r="J144" s="4">
        <v>83.5</v>
      </c>
      <c r="K144" s="4">
        <v>8</v>
      </c>
      <c r="L144" s="4">
        <v>0</v>
      </c>
      <c r="M144" s="4">
        <v>89</v>
      </c>
      <c r="N144" s="4">
        <v>28</v>
      </c>
      <c r="O144" s="4">
        <v>144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269</v>
      </c>
      <c r="Z144" s="4">
        <v>0</v>
      </c>
      <c r="AA144" s="4">
        <v>8</v>
      </c>
      <c r="AB144" s="4">
        <v>0</v>
      </c>
      <c r="AC144" s="4">
        <v>89</v>
      </c>
      <c r="AD144" s="4">
        <v>28</v>
      </c>
      <c r="AE144" s="4">
        <v>144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10">
        <f t="shared" si="8"/>
        <v>367</v>
      </c>
      <c r="AP144" s="10">
        <f t="shared" si="9"/>
        <v>352.5</v>
      </c>
      <c r="AQ144" s="1">
        <f t="shared" si="10"/>
        <v>719.5</v>
      </c>
      <c r="AR144" s="1">
        <f t="shared" si="11"/>
        <v>-10</v>
      </c>
    </row>
    <row r="145" spans="1:44" x14ac:dyDescent="0.2">
      <c r="A145" s="3">
        <v>138</v>
      </c>
      <c r="B145" s="3" t="s">
        <v>175</v>
      </c>
      <c r="C145" s="3" t="s">
        <v>48</v>
      </c>
      <c r="D145" s="3">
        <v>1.25</v>
      </c>
      <c r="E145" s="3" t="s">
        <v>174</v>
      </c>
      <c r="F145" s="4">
        <v>1823.75</v>
      </c>
      <c r="G145" s="4">
        <v>1112.5</v>
      </c>
      <c r="H145" s="4">
        <v>711.25</v>
      </c>
      <c r="I145" s="4">
        <v>963.3</v>
      </c>
      <c r="J145" s="4">
        <v>211.02</v>
      </c>
      <c r="K145" s="4">
        <v>22</v>
      </c>
      <c r="L145" s="4">
        <v>0</v>
      </c>
      <c r="M145" s="4">
        <v>290</v>
      </c>
      <c r="N145" s="4">
        <v>28</v>
      </c>
      <c r="O145" s="4">
        <v>228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646.02</v>
      </c>
      <c r="Z145" s="4">
        <v>78.02</v>
      </c>
      <c r="AA145" s="4">
        <v>22</v>
      </c>
      <c r="AB145" s="4">
        <v>0</v>
      </c>
      <c r="AC145" s="4">
        <v>290</v>
      </c>
      <c r="AD145" s="4">
        <v>28</v>
      </c>
      <c r="AE145" s="4">
        <v>228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10">
        <f t="shared" si="8"/>
        <v>963.3</v>
      </c>
      <c r="AP145" s="10">
        <f t="shared" si="9"/>
        <v>779.02</v>
      </c>
      <c r="AQ145" s="1">
        <f t="shared" si="10"/>
        <v>1742.32</v>
      </c>
      <c r="AR145" s="1">
        <f t="shared" si="11"/>
        <v>-81.430000000000064</v>
      </c>
    </row>
    <row r="146" spans="1:44" x14ac:dyDescent="0.2">
      <c r="A146" s="3">
        <v>139</v>
      </c>
      <c r="B146" s="3" t="s">
        <v>176</v>
      </c>
      <c r="C146" s="3" t="s">
        <v>36</v>
      </c>
      <c r="D146" s="3">
        <v>0.25</v>
      </c>
      <c r="E146" s="3" t="s">
        <v>174</v>
      </c>
      <c r="F146" s="4">
        <v>364.75</v>
      </c>
      <c r="G146" s="4">
        <v>222.5</v>
      </c>
      <c r="H146" s="4">
        <v>142.25</v>
      </c>
      <c r="I146" s="4">
        <v>139</v>
      </c>
      <c r="J146" s="4">
        <v>19</v>
      </c>
      <c r="K146" s="4">
        <v>0</v>
      </c>
      <c r="L146" s="4">
        <v>0</v>
      </c>
      <c r="M146" s="4">
        <v>0</v>
      </c>
      <c r="N146" s="4">
        <v>28</v>
      </c>
      <c r="O146" s="4">
        <v>177.6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205.6</v>
      </c>
      <c r="Z146" s="4">
        <v>0</v>
      </c>
      <c r="AA146" s="4">
        <v>0</v>
      </c>
      <c r="AB146" s="4">
        <v>0</v>
      </c>
      <c r="AC146" s="4">
        <v>0</v>
      </c>
      <c r="AD146" s="4">
        <v>28</v>
      </c>
      <c r="AE146" s="4">
        <v>177.6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10">
        <f t="shared" si="8"/>
        <v>139</v>
      </c>
      <c r="AP146" s="10">
        <f t="shared" si="9"/>
        <v>224.6</v>
      </c>
      <c r="AQ146" s="1">
        <f t="shared" si="10"/>
        <v>363.6</v>
      </c>
      <c r="AR146" s="1">
        <f t="shared" si="11"/>
        <v>-1.1499999999999773</v>
      </c>
    </row>
    <row r="147" spans="1:44" x14ac:dyDescent="0.2">
      <c r="A147" s="3">
        <v>140</v>
      </c>
      <c r="B147" s="3" t="s">
        <v>177</v>
      </c>
      <c r="C147" s="3" t="s">
        <v>32</v>
      </c>
      <c r="D147" s="3">
        <v>0.25</v>
      </c>
      <c r="E147" s="3" t="s">
        <v>174</v>
      </c>
      <c r="F147" s="4">
        <v>364.75</v>
      </c>
      <c r="G147" s="4">
        <v>222.5</v>
      </c>
      <c r="H147" s="4">
        <v>142.25</v>
      </c>
      <c r="I147" s="4">
        <v>222</v>
      </c>
      <c r="J147" s="4">
        <v>73.3</v>
      </c>
      <c r="K147" s="4">
        <v>8</v>
      </c>
      <c r="L147" s="4">
        <v>0</v>
      </c>
      <c r="M147" s="4">
        <v>0</v>
      </c>
      <c r="N147" s="4">
        <v>28</v>
      </c>
      <c r="O147" s="4">
        <v>52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88</v>
      </c>
      <c r="Z147" s="4">
        <v>0</v>
      </c>
      <c r="AA147" s="4">
        <v>8</v>
      </c>
      <c r="AB147" s="4">
        <v>0</v>
      </c>
      <c r="AC147" s="4">
        <v>0</v>
      </c>
      <c r="AD147" s="4">
        <v>28</v>
      </c>
      <c r="AE147" s="4">
        <v>52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10">
        <f t="shared" si="8"/>
        <v>222</v>
      </c>
      <c r="AP147" s="10">
        <f t="shared" si="9"/>
        <v>161.30000000000001</v>
      </c>
      <c r="AQ147" s="1">
        <f t="shared" si="10"/>
        <v>383.3</v>
      </c>
      <c r="AR147" s="1">
        <f t="shared" si="11"/>
        <v>18.550000000000011</v>
      </c>
    </row>
    <row r="148" spans="1:44" x14ac:dyDescent="0.2">
      <c r="A148" s="3">
        <v>141</v>
      </c>
      <c r="B148" s="3" t="s">
        <v>178</v>
      </c>
      <c r="C148" s="3" t="s">
        <v>48</v>
      </c>
      <c r="D148" s="3">
        <v>0.25</v>
      </c>
      <c r="E148" s="3" t="s">
        <v>179</v>
      </c>
      <c r="F148" s="4">
        <v>364.75</v>
      </c>
      <c r="G148" s="4">
        <v>222.5</v>
      </c>
      <c r="H148" s="4">
        <v>142.25</v>
      </c>
      <c r="I148" s="4">
        <v>212</v>
      </c>
      <c r="J148" s="4">
        <v>42.5</v>
      </c>
      <c r="K148" s="4">
        <v>81.760000000000005</v>
      </c>
      <c r="L148" s="4">
        <v>0</v>
      </c>
      <c r="M148" s="4">
        <v>0</v>
      </c>
      <c r="N148" s="4">
        <v>28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109.76</v>
      </c>
      <c r="Z148" s="4">
        <v>0</v>
      </c>
      <c r="AA148" s="4">
        <v>81.760000000000005</v>
      </c>
      <c r="AB148" s="4">
        <v>0</v>
      </c>
      <c r="AC148" s="4">
        <v>0</v>
      </c>
      <c r="AD148" s="4">
        <v>28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10">
        <f t="shared" si="8"/>
        <v>212</v>
      </c>
      <c r="AP148" s="10">
        <f t="shared" si="9"/>
        <v>152.26</v>
      </c>
      <c r="AQ148" s="1">
        <f t="shared" si="10"/>
        <v>364.26</v>
      </c>
      <c r="AR148" s="1">
        <f t="shared" si="11"/>
        <v>-0.49000000000000909</v>
      </c>
    </row>
    <row r="149" spans="1:44" x14ac:dyDescent="0.2">
      <c r="A149" s="3">
        <v>142</v>
      </c>
      <c r="B149" s="3" t="s">
        <v>180</v>
      </c>
      <c r="C149" s="3" t="s">
        <v>48</v>
      </c>
      <c r="D149" s="3">
        <v>1.5</v>
      </c>
      <c r="E149" s="3" t="s">
        <v>179</v>
      </c>
      <c r="F149" s="4">
        <v>2188.5</v>
      </c>
      <c r="G149" s="4">
        <v>1335</v>
      </c>
      <c r="H149" s="4">
        <v>853.5</v>
      </c>
      <c r="I149" s="4">
        <v>1154</v>
      </c>
      <c r="J149" s="4">
        <v>145.5</v>
      </c>
      <c r="K149" s="4">
        <v>346.04</v>
      </c>
      <c r="L149" s="4">
        <v>0</v>
      </c>
      <c r="M149" s="4">
        <v>260</v>
      </c>
      <c r="N149" s="4">
        <v>143</v>
      </c>
      <c r="O149" s="4">
        <v>134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897.04</v>
      </c>
      <c r="Z149" s="4">
        <v>14</v>
      </c>
      <c r="AA149" s="4">
        <v>346.04</v>
      </c>
      <c r="AB149" s="4">
        <v>0</v>
      </c>
      <c r="AC149" s="4">
        <v>260</v>
      </c>
      <c r="AD149" s="4">
        <v>143</v>
      </c>
      <c r="AE149" s="4">
        <v>134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10">
        <f t="shared" si="8"/>
        <v>1154</v>
      </c>
      <c r="AP149" s="10">
        <f t="shared" si="9"/>
        <v>1028.54</v>
      </c>
      <c r="AQ149" s="1">
        <f t="shared" si="10"/>
        <v>2182.54</v>
      </c>
      <c r="AR149" s="1">
        <f t="shared" si="11"/>
        <v>-5.9600000000000364</v>
      </c>
    </row>
    <row r="150" spans="1:44" x14ac:dyDescent="0.2">
      <c r="A150" s="3">
        <v>143</v>
      </c>
      <c r="B150" s="3" t="s">
        <v>181</v>
      </c>
      <c r="C150" s="3" t="s">
        <v>48</v>
      </c>
      <c r="D150" s="3">
        <v>1.5</v>
      </c>
      <c r="E150" s="3" t="s">
        <v>179</v>
      </c>
      <c r="F150" s="4">
        <v>2188.5</v>
      </c>
      <c r="G150" s="4">
        <v>1335</v>
      </c>
      <c r="H150" s="4">
        <v>853.5</v>
      </c>
      <c r="I150" s="4">
        <v>1309.5</v>
      </c>
      <c r="J150" s="4">
        <v>278</v>
      </c>
      <c r="K150" s="4">
        <v>244.2</v>
      </c>
      <c r="L150" s="4">
        <v>0</v>
      </c>
      <c r="M150" s="4">
        <v>158</v>
      </c>
      <c r="N150" s="4">
        <v>157</v>
      </c>
      <c r="O150" s="4">
        <v>24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627.20000000000005</v>
      </c>
      <c r="Z150" s="4">
        <v>44</v>
      </c>
      <c r="AA150" s="4">
        <v>244.2</v>
      </c>
      <c r="AB150" s="4">
        <v>0</v>
      </c>
      <c r="AC150" s="4">
        <v>158</v>
      </c>
      <c r="AD150" s="4">
        <v>157</v>
      </c>
      <c r="AE150" s="4">
        <v>24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10">
        <f t="shared" si="8"/>
        <v>1309.5</v>
      </c>
      <c r="AP150" s="10">
        <f t="shared" si="9"/>
        <v>861.2</v>
      </c>
      <c r="AQ150" s="1">
        <f t="shared" si="10"/>
        <v>2170.6999999999998</v>
      </c>
      <c r="AR150" s="1">
        <f t="shared" si="11"/>
        <v>-17.800000000000182</v>
      </c>
    </row>
    <row r="151" spans="1:44" x14ac:dyDescent="0.2">
      <c r="A151" s="3">
        <v>144</v>
      </c>
      <c r="B151" s="3" t="s">
        <v>182</v>
      </c>
      <c r="C151" s="3" t="s">
        <v>27</v>
      </c>
      <c r="D151" s="3">
        <v>1</v>
      </c>
      <c r="E151" s="3" t="s">
        <v>179</v>
      </c>
      <c r="F151" s="4">
        <v>1459</v>
      </c>
      <c r="G151" s="4">
        <v>890</v>
      </c>
      <c r="H151" s="4">
        <v>569</v>
      </c>
      <c r="I151" s="4">
        <v>689</v>
      </c>
      <c r="J151" s="4">
        <v>167</v>
      </c>
      <c r="K151" s="4">
        <v>58.48</v>
      </c>
      <c r="L151" s="4">
        <v>0</v>
      </c>
      <c r="M151" s="4">
        <v>0</v>
      </c>
      <c r="N151" s="4">
        <v>28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102.48</v>
      </c>
      <c r="Z151" s="4">
        <v>16</v>
      </c>
      <c r="AA151" s="4">
        <v>58.48</v>
      </c>
      <c r="AB151" s="4">
        <v>0</v>
      </c>
      <c r="AC151" s="4">
        <v>0</v>
      </c>
      <c r="AD151" s="4">
        <v>28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10">
        <f t="shared" si="8"/>
        <v>689</v>
      </c>
      <c r="AP151" s="10">
        <f t="shared" si="9"/>
        <v>253.48</v>
      </c>
      <c r="AQ151" s="1">
        <f t="shared" si="10"/>
        <v>942.48</v>
      </c>
      <c r="AR151" s="1">
        <f t="shared" si="11"/>
        <v>-516.52</v>
      </c>
    </row>
    <row r="152" spans="1:44" x14ac:dyDescent="0.2">
      <c r="A152" s="3">
        <v>145</v>
      </c>
      <c r="B152" s="3" t="s">
        <v>183</v>
      </c>
      <c r="C152" s="3" t="s">
        <v>48</v>
      </c>
      <c r="D152" s="3">
        <v>0.5</v>
      </c>
      <c r="E152" s="3" t="s">
        <v>179</v>
      </c>
      <c r="F152" s="4">
        <v>729.5</v>
      </c>
      <c r="G152" s="4">
        <v>445</v>
      </c>
      <c r="H152" s="4">
        <v>284.5</v>
      </c>
      <c r="I152" s="4">
        <v>427</v>
      </c>
      <c r="J152" s="4">
        <v>54.5</v>
      </c>
      <c r="K152" s="4">
        <v>224.28</v>
      </c>
      <c r="L152" s="4">
        <v>0</v>
      </c>
      <c r="M152" s="4">
        <v>0</v>
      </c>
      <c r="N152" s="4">
        <v>10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238.28</v>
      </c>
      <c r="Z152" s="4">
        <v>4</v>
      </c>
      <c r="AA152" s="4">
        <v>224.28</v>
      </c>
      <c r="AB152" s="4">
        <v>0</v>
      </c>
      <c r="AC152" s="4">
        <v>0</v>
      </c>
      <c r="AD152" s="4">
        <v>10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10">
        <f t="shared" si="8"/>
        <v>427</v>
      </c>
      <c r="AP152" s="10">
        <f t="shared" si="9"/>
        <v>288.77999999999997</v>
      </c>
      <c r="AQ152" s="1">
        <f t="shared" si="10"/>
        <v>715.78</v>
      </c>
      <c r="AR152" s="1">
        <f t="shared" si="11"/>
        <v>-13.720000000000027</v>
      </c>
    </row>
    <row r="153" spans="1:44" x14ac:dyDescent="0.2">
      <c r="A153" s="3">
        <v>146</v>
      </c>
      <c r="B153" s="3" t="s">
        <v>184</v>
      </c>
      <c r="C153" s="3" t="s">
        <v>24</v>
      </c>
      <c r="D153" s="3">
        <v>1</v>
      </c>
      <c r="E153" s="3" t="s">
        <v>179</v>
      </c>
      <c r="F153" s="4">
        <v>1459</v>
      </c>
      <c r="G153" s="4">
        <v>890</v>
      </c>
      <c r="H153" s="4">
        <v>569</v>
      </c>
      <c r="I153" s="4">
        <v>883.5</v>
      </c>
      <c r="J153" s="4">
        <v>67</v>
      </c>
      <c r="K153" s="13">
        <v>420</v>
      </c>
      <c r="L153" s="4">
        <v>0</v>
      </c>
      <c r="M153" s="4">
        <v>0</v>
      </c>
      <c r="N153" s="4">
        <v>317.2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577.20000000000005</v>
      </c>
      <c r="Z153" s="4">
        <v>0</v>
      </c>
      <c r="AA153" s="4">
        <v>260</v>
      </c>
      <c r="AB153" s="4">
        <v>0</v>
      </c>
      <c r="AC153" s="4">
        <v>0</v>
      </c>
      <c r="AD153" s="4">
        <v>317.2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10">
        <f t="shared" si="8"/>
        <v>883.5</v>
      </c>
      <c r="AP153" s="10">
        <f t="shared" si="9"/>
        <v>804.2</v>
      </c>
      <c r="AQ153" s="1">
        <f t="shared" si="10"/>
        <v>1687.7</v>
      </c>
      <c r="AR153" s="1">
        <f t="shared" si="11"/>
        <v>228.70000000000005</v>
      </c>
    </row>
    <row r="154" spans="1:44" x14ac:dyDescent="0.2">
      <c r="A154" s="3">
        <v>147</v>
      </c>
      <c r="B154" s="3" t="s">
        <v>185</v>
      </c>
      <c r="C154" s="3" t="s">
        <v>32</v>
      </c>
      <c r="D154" s="3">
        <v>0.75</v>
      </c>
      <c r="E154" s="3" t="s">
        <v>186</v>
      </c>
      <c r="F154" s="4">
        <v>1094.25</v>
      </c>
      <c r="G154" s="4">
        <v>667.5</v>
      </c>
      <c r="H154" s="4">
        <v>426.75</v>
      </c>
      <c r="I154" s="4">
        <v>666</v>
      </c>
      <c r="J154" s="4">
        <v>195.5</v>
      </c>
      <c r="K154" s="4">
        <v>191</v>
      </c>
      <c r="L154" s="4">
        <v>0</v>
      </c>
      <c r="M154" s="4">
        <v>20</v>
      </c>
      <c r="N154" s="4">
        <v>28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282.5</v>
      </c>
      <c r="Z154" s="4">
        <v>43.5</v>
      </c>
      <c r="AA154" s="4">
        <v>191</v>
      </c>
      <c r="AB154" s="4">
        <v>0</v>
      </c>
      <c r="AC154" s="4">
        <v>20</v>
      </c>
      <c r="AD154" s="4">
        <v>28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10">
        <f t="shared" si="8"/>
        <v>666</v>
      </c>
      <c r="AP154" s="10">
        <f t="shared" si="9"/>
        <v>434.5</v>
      </c>
      <c r="AQ154" s="1">
        <f t="shared" si="10"/>
        <v>1100.5</v>
      </c>
      <c r="AR154" s="1">
        <f t="shared" si="11"/>
        <v>6.25</v>
      </c>
    </row>
    <row r="155" spans="1:44" x14ac:dyDescent="0.2">
      <c r="A155" s="3">
        <v>148</v>
      </c>
      <c r="B155" s="3" t="s">
        <v>187</v>
      </c>
      <c r="C155" s="3" t="s">
        <v>32</v>
      </c>
      <c r="D155" s="3">
        <v>0.5</v>
      </c>
      <c r="E155" s="3" t="s">
        <v>186</v>
      </c>
      <c r="F155" s="4">
        <v>729.5</v>
      </c>
      <c r="G155" s="4">
        <v>445</v>
      </c>
      <c r="H155" s="4">
        <v>284.5</v>
      </c>
      <c r="I155" s="4">
        <v>445</v>
      </c>
      <c r="J155" s="4">
        <v>150.5</v>
      </c>
      <c r="K155" s="4">
        <v>0</v>
      </c>
      <c r="L155" s="4">
        <v>0</v>
      </c>
      <c r="M155" s="4">
        <v>0</v>
      </c>
      <c r="N155" s="4">
        <v>28</v>
      </c>
      <c r="O155" s="4">
        <v>106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185.5</v>
      </c>
      <c r="Z155" s="4">
        <v>51.5</v>
      </c>
      <c r="AA155" s="4">
        <v>0</v>
      </c>
      <c r="AB155" s="4">
        <v>0</v>
      </c>
      <c r="AC155" s="4">
        <v>0</v>
      </c>
      <c r="AD155" s="4">
        <v>28</v>
      </c>
      <c r="AE155" s="4">
        <v>106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10">
        <f t="shared" si="8"/>
        <v>445</v>
      </c>
      <c r="AP155" s="10">
        <f t="shared" si="9"/>
        <v>284.5</v>
      </c>
      <c r="AQ155" s="1">
        <f t="shared" si="10"/>
        <v>729.5</v>
      </c>
      <c r="AR155" s="1">
        <f t="shared" si="11"/>
        <v>0</v>
      </c>
    </row>
    <row r="156" spans="1:44" x14ac:dyDescent="0.2">
      <c r="A156" s="3">
        <v>149</v>
      </c>
      <c r="B156" s="3" t="s">
        <v>188</v>
      </c>
      <c r="C156" s="3" t="s">
        <v>32</v>
      </c>
      <c r="D156" s="3">
        <v>0.5</v>
      </c>
      <c r="E156" s="3" t="s">
        <v>186</v>
      </c>
      <c r="F156" s="4">
        <v>729.5</v>
      </c>
      <c r="G156" s="4">
        <v>445</v>
      </c>
      <c r="H156" s="4">
        <v>284.5</v>
      </c>
      <c r="I156" s="4">
        <v>444</v>
      </c>
      <c r="J156" s="4">
        <v>128</v>
      </c>
      <c r="K156" s="4">
        <v>0</v>
      </c>
      <c r="L156" s="4">
        <v>0</v>
      </c>
      <c r="M156" s="4">
        <v>0</v>
      </c>
      <c r="N156" s="4">
        <v>84</v>
      </c>
      <c r="O156" s="4">
        <v>106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218</v>
      </c>
      <c r="Z156" s="4">
        <v>28</v>
      </c>
      <c r="AA156" s="4">
        <v>0</v>
      </c>
      <c r="AB156" s="4">
        <v>0</v>
      </c>
      <c r="AC156" s="4">
        <v>0</v>
      </c>
      <c r="AD156" s="4">
        <v>84</v>
      </c>
      <c r="AE156" s="4">
        <v>106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10">
        <f t="shared" si="8"/>
        <v>444</v>
      </c>
      <c r="AP156" s="10">
        <f t="shared" si="9"/>
        <v>318</v>
      </c>
      <c r="AQ156" s="1">
        <f t="shared" si="10"/>
        <v>762</v>
      </c>
      <c r="AR156" s="1">
        <f t="shared" si="11"/>
        <v>32.5</v>
      </c>
    </row>
    <row r="157" spans="1:44" x14ac:dyDescent="0.2">
      <c r="A157" s="3">
        <v>150</v>
      </c>
      <c r="B157" s="3" t="s">
        <v>189</v>
      </c>
      <c r="C157" s="3" t="s">
        <v>36</v>
      </c>
      <c r="D157" s="3">
        <v>0.5</v>
      </c>
      <c r="E157" s="3" t="s">
        <v>186</v>
      </c>
      <c r="F157" s="4">
        <v>729.5</v>
      </c>
      <c r="G157" s="4">
        <v>445</v>
      </c>
      <c r="H157" s="4">
        <v>284.5</v>
      </c>
      <c r="I157" s="4">
        <v>445</v>
      </c>
      <c r="J157" s="4">
        <v>153</v>
      </c>
      <c r="K157" s="4">
        <v>15</v>
      </c>
      <c r="L157" s="4">
        <v>0</v>
      </c>
      <c r="M157" s="4">
        <v>10</v>
      </c>
      <c r="N157" s="4">
        <v>108</v>
      </c>
      <c r="O157" s="4">
        <v>16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192</v>
      </c>
      <c r="Z157" s="4">
        <v>51</v>
      </c>
      <c r="AA157" s="4">
        <v>15</v>
      </c>
      <c r="AB157" s="4">
        <v>0</v>
      </c>
      <c r="AC157" s="4">
        <v>10</v>
      </c>
      <c r="AD157" s="4">
        <v>100</v>
      </c>
      <c r="AE157" s="4">
        <v>16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10">
        <f t="shared" si="8"/>
        <v>445</v>
      </c>
      <c r="AP157" s="10">
        <f t="shared" si="9"/>
        <v>302</v>
      </c>
      <c r="AQ157" s="1">
        <f t="shared" si="10"/>
        <v>747</v>
      </c>
      <c r="AR157" s="1">
        <f t="shared" si="11"/>
        <v>17.5</v>
      </c>
    </row>
    <row r="158" spans="1:44" x14ac:dyDescent="0.2">
      <c r="A158" s="3">
        <v>151</v>
      </c>
      <c r="B158" s="3" t="s">
        <v>190</v>
      </c>
      <c r="C158" s="3" t="s">
        <v>32</v>
      </c>
      <c r="D158" s="3">
        <v>1</v>
      </c>
      <c r="E158" s="3" t="s">
        <v>186</v>
      </c>
      <c r="F158" s="4">
        <v>1459</v>
      </c>
      <c r="G158" s="4">
        <v>890</v>
      </c>
      <c r="H158" s="4">
        <v>569</v>
      </c>
      <c r="I158" s="4">
        <v>890</v>
      </c>
      <c r="J158" s="4">
        <v>260.75</v>
      </c>
      <c r="K158" s="4">
        <v>0</v>
      </c>
      <c r="L158" s="4">
        <v>0</v>
      </c>
      <c r="M158" s="4">
        <v>55</v>
      </c>
      <c r="N158" s="4">
        <v>108</v>
      </c>
      <c r="O158" s="4">
        <v>72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294.75</v>
      </c>
      <c r="Z158" s="4">
        <v>59.75</v>
      </c>
      <c r="AA158" s="4">
        <v>0</v>
      </c>
      <c r="AB158" s="4">
        <v>0</v>
      </c>
      <c r="AC158" s="4">
        <v>55</v>
      </c>
      <c r="AD158" s="4">
        <v>108</v>
      </c>
      <c r="AE158" s="4">
        <v>72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10">
        <f t="shared" si="8"/>
        <v>890</v>
      </c>
      <c r="AP158" s="10">
        <f t="shared" si="9"/>
        <v>495.75</v>
      </c>
      <c r="AQ158" s="1">
        <f t="shared" si="10"/>
        <v>1385.75</v>
      </c>
      <c r="AR158" s="1">
        <f t="shared" si="11"/>
        <v>-73.25</v>
      </c>
    </row>
    <row r="159" spans="1:44" x14ac:dyDescent="0.2">
      <c r="A159" s="3">
        <v>152</v>
      </c>
      <c r="B159" s="3" t="s">
        <v>191</v>
      </c>
      <c r="C159" s="3" t="s">
        <v>32</v>
      </c>
      <c r="D159" s="3">
        <v>1</v>
      </c>
      <c r="E159" s="3" t="s">
        <v>186</v>
      </c>
      <c r="F159" s="4">
        <v>1459</v>
      </c>
      <c r="G159" s="4">
        <v>890</v>
      </c>
      <c r="H159" s="4">
        <v>569</v>
      </c>
      <c r="I159" s="4">
        <v>870.5</v>
      </c>
      <c r="J159" s="4">
        <v>296</v>
      </c>
      <c r="K159" s="4">
        <v>79</v>
      </c>
      <c r="L159" s="4">
        <v>0</v>
      </c>
      <c r="M159" s="4">
        <v>165</v>
      </c>
      <c r="N159" s="4">
        <v>28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379.5</v>
      </c>
      <c r="Z159" s="4">
        <v>107.5</v>
      </c>
      <c r="AA159" s="4">
        <v>79</v>
      </c>
      <c r="AB159" s="4">
        <v>0</v>
      </c>
      <c r="AC159" s="4">
        <v>165</v>
      </c>
      <c r="AD159" s="4">
        <v>28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10">
        <f t="shared" si="8"/>
        <v>870.5</v>
      </c>
      <c r="AP159" s="10">
        <f t="shared" si="9"/>
        <v>568</v>
      </c>
      <c r="AQ159" s="1">
        <f t="shared" si="10"/>
        <v>1438.5</v>
      </c>
      <c r="AR159" s="1">
        <f t="shared" si="11"/>
        <v>-20.5</v>
      </c>
    </row>
    <row r="160" spans="1:44" x14ac:dyDescent="0.2">
      <c r="A160" s="3">
        <v>153</v>
      </c>
      <c r="B160" s="3" t="s">
        <v>192</v>
      </c>
      <c r="C160" s="3" t="s">
        <v>27</v>
      </c>
      <c r="D160" s="3">
        <v>1</v>
      </c>
      <c r="E160" s="3" t="s">
        <v>186</v>
      </c>
      <c r="F160" s="4">
        <v>1459</v>
      </c>
      <c r="G160" s="4">
        <v>890</v>
      </c>
      <c r="H160" s="4">
        <v>569</v>
      </c>
      <c r="I160" s="4">
        <v>810</v>
      </c>
      <c r="J160" s="4">
        <v>200.75</v>
      </c>
      <c r="K160" s="4">
        <v>37</v>
      </c>
      <c r="L160" s="4">
        <v>0</v>
      </c>
      <c r="M160" s="4">
        <v>343</v>
      </c>
      <c r="N160" s="4">
        <v>28</v>
      </c>
      <c r="O160" s="4">
        <v>36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488.75</v>
      </c>
      <c r="Z160" s="4">
        <v>44.75</v>
      </c>
      <c r="AA160" s="4">
        <v>37</v>
      </c>
      <c r="AB160" s="4">
        <v>0</v>
      </c>
      <c r="AC160" s="4">
        <v>343</v>
      </c>
      <c r="AD160" s="4">
        <v>28</v>
      </c>
      <c r="AE160" s="4">
        <v>36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10">
        <f t="shared" si="8"/>
        <v>810</v>
      </c>
      <c r="AP160" s="10">
        <f t="shared" si="9"/>
        <v>644.75</v>
      </c>
      <c r="AQ160" s="1">
        <f t="shared" si="10"/>
        <v>1454.75</v>
      </c>
      <c r="AR160" s="1">
        <f t="shared" si="11"/>
        <v>-4.25</v>
      </c>
    </row>
    <row r="161" spans="1:44" x14ac:dyDescent="0.2">
      <c r="A161" s="3">
        <v>154</v>
      </c>
      <c r="B161" s="3" t="s">
        <v>193</v>
      </c>
      <c r="C161" s="3" t="s">
        <v>32</v>
      </c>
      <c r="D161" s="3">
        <v>1.25</v>
      </c>
      <c r="E161" s="3" t="s">
        <v>186</v>
      </c>
      <c r="F161" s="4">
        <v>1823.75</v>
      </c>
      <c r="G161" s="4">
        <v>1112.5</v>
      </c>
      <c r="H161" s="4">
        <v>711.25</v>
      </c>
      <c r="I161" s="4">
        <v>979</v>
      </c>
      <c r="J161" s="4">
        <v>341.75</v>
      </c>
      <c r="K161" s="4">
        <v>156</v>
      </c>
      <c r="L161" s="4">
        <v>0</v>
      </c>
      <c r="M161" s="4">
        <v>70</v>
      </c>
      <c r="N161" s="4">
        <v>28</v>
      </c>
      <c r="O161" s="4">
        <v>216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577.75</v>
      </c>
      <c r="Z161" s="4">
        <v>107.75</v>
      </c>
      <c r="AA161" s="4">
        <v>156</v>
      </c>
      <c r="AB161" s="4">
        <v>0</v>
      </c>
      <c r="AC161" s="4">
        <v>70</v>
      </c>
      <c r="AD161" s="4">
        <v>28</v>
      </c>
      <c r="AE161" s="4">
        <v>216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10">
        <f t="shared" si="8"/>
        <v>979</v>
      </c>
      <c r="AP161" s="10">
        <f t="shared" si="9"/>
        <v>811.75</v>
      </c>
      <c r="AQ161" s="1">
        <f t="shared" si="10"/>
        <v>1790.75</v>
      </c>
      <c r="AR161" s="1">
        <f t="shared" si="11"/>
        <v>-33</v>
      </c>
    </row>
    <row r="162" spans="1:44" x14ac:dyDescent="0.2">
      <c r="A162" s="3">
        <v>155</v>
      </c>
      <c r="B162" s="3" t="s">
        <v>194</v>
      </c>
      <c r="C162" s="3" t="s">
        <v>32</v>
      </c>
      <c r="D162" s="3">
        <v>0.5</v>
      </c>
      <c r="E162" s="3" t="s">
        <v>186</v>
      </c>
      <c r="F162" s="4">
        <v>729.5</v>
      </c>
      <c r="G162" s="4">
        <v>445</v>
      </c>
      <c r="H162" s="4">
        <v>284.5</v>
      </c>
      <c r="I162" s="4">
        <v>440.5</v>
      </c>
      <c r="J162" s="4">
        <v>141.75</v>
      </c>
      <c r="K162" s="4">
        <v>12</v>
      </c>
      <c r="L162" s="4">
        <v>0</v>
      </c>
      <c r="M162" s="4">
        <v>60</v>
      </c>
      <c r="N162" s="4">
        <v>28</v>
      </c>
      <c r="O162" s="4">
        <v>36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277.75</v>
      </c>
      <c r="Z162" s="4">
        <v>141.75</v>
      </c>
      <c r="AA162" s="4">
        <v>12</v>
      </c>
      <c r="AB162" s="4">
        <v>0</v>
      </c>
      <c r="AC162" s="4">
        <v>60</v>
      </c>
      <c r="AD162" s="4">
        <v>28</v>
      </c>
      <c r="AE162" s="4">
        <v>36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10">
        <f t="shared" si="8"/>
        <v>440.5</v>
      </c>
      <c r="AP162" s="10">
        <f t="shared" si="9"/>
        <v>277.75</v>
      </c>
      <c r="AQ162" s="1">
        <f t="shared" si="10"/>
        <v>718.25</v>
      </c>
      <c r="AR162" s="1">
        <f t="shared" si="11"/>
        <v>-11.25</v>
      </c>
    </row>
    <row r="163" spans="1:44" x14ac:dyDescent="0.2">
      <c r="A163" s="3">
        <v>156</v>
      </c>
      <c r="B163" s="3" t="s">
        <v>195</v>
      </c>
      <c r="C163" s="3" t="s">
        <v>32</v>
      </c>
      <c r="D163" s="3">
        <v>1</v>
      </c>
      <c r="E163" s="3" t="s">
        <v>186</v>
      </c>
      <c r="F163" s="4">
        <v>1459</v>
      </c>
      <c r="G163" s="4">
        <v>890</v>
      </c>
      <c r="H163" s="4">
        <v>569</v>
      </c>
      <c r="I163" s="4">
        <v>889</v>
      </c>
      <c r="J163" s="4">
        <v>293</v>
      </c>
      <c r="K163" s="4">
        <v>32</v>
      </c>
      <c r="L163" s="4">
        <v>0</v>
      </c>
      <c r="M163" s="4">
        <v>38</v>
      </c>
      <c r="N163" s="4">
        <v>28</v>
      </c>
      <c r="O163" s="4">
        <v>72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264</v>
      </c>
      <c r="Z163" s="4">
        <v>94</v>
      </c>
      <c r="AA163" s="4">
        <v>32</v>
      </c>
      <c r="AB163" s="4">
        <v>0</v>
      </c>
      <c r="AC163" s="4">
        <v>38</v>
      </c>
      <c r="AD163" s="4">
        <v>28</v>
      </c>
      <c r="AE163" s="4">
        <v>72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10">
        <f t="shared" si="8"/>
        <v>889</v>
      </c>
      <c r="AP163" s="10">
        <f t="shared" si="9"/>
        <v>463</v>
      </c>
      <c r="AQ163" s="1">
        <f t="shared" si="10"/>
        <v>1352</v>
      </c>
      <c r="AR163" s="1">
        <f t="shared" si="11"/>
        <v>-107</v>
      </c>
    </row>
    <row r="164" spans="1:44" x14ac:dyDescent="0.2">
      <c r="A164" s="3">
        <v>157</v>
      </c>
      <c r="B164" s="3" t="s">
        <v>196</v>
      </c>
      <c r="C164" s="3" t="s">
        <v>32</v>
      </c>
      <c r="D164" s="3">
        <v>0.5</v>
      </c>
      <c r="E164" s="3" t="s">
        <v>186</v>
      </c>
      <c r="F164" s="4">
        <v>729.5</v>
      </c>
      <c r="G164" s="4">
        <v>445</v>
      </c>
      <c r="H164" s="4">
        <v>284.5</v>
      </c>
      <c r="I164" s="4">
        <v>445</v>
      </c>
      <c r="J164" s="4">
        <v>163</v>
      </c>
      <c r="K164" s="4">
        <v>69.2</v>
      </c>
      <c r="L164" s="4">
        <v>0</v>
      </c>
      <c r="M164" s="4">
        <v>40</v>
      </c>
      <c r="N164" s="4">
        <v>20.8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189.5</v>
      </c>
      <c r="Z164" s="4">
        <v>59.5</v>
      </c>
      <c r="AA164" s="4">
        <v>69.2</v>
      </c>
      <c r="AB164" s="4">
        <v>0</v>
      </c>
      <c r="AC164" s="4">
        <v>40</v>
      </c>
      <c r="AD164" s="4">
        <v>20.8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10">
        <f t="shared" si="8"/>
        <v>445</v>
      </c>
      <c r="AP164" s="10">
        <f t="shared" si="9"/>
        <v>293</v>
      </c>
      <c r="AQ164" s="1">
        <f t="shared" si="10"/>
        <v>738</v>
      </c>
      <c r="AR164" s="1">
        <f t="shared" si="11"/>
        <v>8.5</v>
      </c>
    </row>
    <row r="165" spans="1:44" x14ac:dyDescent="0.2">
      <c r="A165" s="3">
        <v>158</v>
      </c>
      <c r="B165" s="3" t="s">
        <v>197</v>
      </c>
      <c r="C165" s="3" t="s">
        <v>36</v>
      </c>
      <c r="D165" s="3">
        <v>1</v>
      </c>
      <c r="E165" s="3" t="s">
        <v>186</v>
      </c>
      <c r="F165" s="4">
        <v>1459</v>
      </c>
      <c r="G165" s="4">
        <v>890</v>
      </c>
      <c r="H165" s="4">
        <v>569</v>
      </c>
      <c r="I165" s="4">
        <v>883</v>
      </c>
      <c r="J165" s="4">
        <v>221.5</v>
      </c>
      <c r="K165" s="4">
        <v>0</v>
      </c>
      <c r="L165" s="4">
        <v>0</v>
      </c>
      <c r="M165" s="4">
        <v>50</v>
      </c>
      <c r="N165" s="4">
        <v>68</v>
      </c>
      <c r="O165" s="4">
        <v>90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234.5</v>
      </c>
      <c r="Z165" s="4">
        <v>26.5</v>
      </c>
      <c r="AA165" s="4">
        <v>0</v>
      </c>
      <c r="AB165" s="4">
        <v>0</v>
      </c>
      <c r="AC165" s="4">
        <v>50</v>
      </c>
      <c r="AD165" s="4">
        <v>68</v>
      </c>
      <c r="AE165" s="4">
        <v>90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10">
        <f t="shared" si="8"/>
        <v>883</v>
      </c>
      <c r="AP165" s="10">
        <f t="shared" si="9"/>
        <v>429.5</v>
      </c>
      <c r="AQ165" s="1">
        <f t="shared" si="10"/>
        <v>1312.5</v>
      </c>
      <c r="AR165" s="1">
        <f t="shared" si="11"/>
        <v>-146.5</v>
      </c>
    </row>
    <row r="166" spans="1:44" x14ac:dyDescent="0.2">
      <c r="A166" s="3">
        <v>159</v>
      </c>
      <c r="B166" s="3" t="s">
        <v>198</v>
      </c>
      <c r="C166" s="3" t="s">
        <v>32</v>
      </c>
      <c r="D166" s="3">
        <v>0.5</v>
      </c>
      <c r="E166" s="3" t="s">
        <v>186</v>
      </c>
      <c r="F166" s="4">
        <v>729.5</v>
      </c>
      <c r="G166" s="4">
        <v>445</v>
      </c>
      <c r="H166" s="4">
        <v>284.5</v>
      </c>
      <c r="I166" s="4">
        <v>444</v>
      </c>
      <c r="J166" s="4">
        <v>135</v>
      </c>
      <c r="K166" s="4">
        <v>71.3</v>
      </c>
      <c r="L166" s="4">
        <v>0</v>
      </c>
      <c r="M166" s="4">
        <v>20</v>
      </c>
      <c r="N166" s="4">
        <v>68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193.3</v>
      </c>
      <c r="Z166" s="4">
        <v>34</v>
      </c>
      <c r="AA166" s="4">
        <v>71.3</v>
      </c>
      <c r="AB166" s="4">
        <v>0</v>
      </c>
      <c r="AC166" s="4">
        <v>20</v>
      </c>
      <c r="AD166" s="4">
        <v>68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10">
        <f t="shared" si="8"/>
        <v>444</v>
      </c>
      <c r="AP166" s="10">
        <f t="shared" si="9"/>
        <v>294.3</v>
      </c>
      <c r="AQ166" s="1">
        <f t="shared" si="10"/>
        <v>738.3</v>
      </c>
      <c r="AR166" s="1">
        <f t="shared" si="11"/>
        <v>8.7999999999999545</v>
      </c>
    </row>
    <row r="167" spans="1:44" x14ac:dyDescent="0.2">
      <c r="A167" s="3">
        <v>160</v>
      </c>
      <c r="B167" s="3" t="s">
        <v>199</v>
      </c>
      <c r="C167" s="3" t="s">
        <v>27</v>
      </c>
      <c r="D167" s="3">
        <v>0.25</v>
      </c>
      <c r="E167" s="3" t="s">
        <v>186</v>
      </c>
      <c r="F167" s="4">
        <v>364.75</v>
      </c>
      <c r="G167" s="4">
        <v>222.5</v>
      </c>
      <c r="H167" s="4">
        <v>142.25</v>
      </c>
      <c r="I167" s="4">
        <v>221</v>
      </c>
      <c r="J167" s="4">
        <v>51.5</v>
      </c>
      <c r="K167" s="4">
        <v>0</v>
      </c>
      <c r="L167" s="4">
        <v>0</v>
      </c>
      <c r="M167" s="4">
        <v>0</v>
      </c>
      <c r="N167" s="4">
        <v>28</v>
      </c>
      <c r="O167" s="4">
        <v>54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82</v>
      </c>
      <c r="Z167" s="4">
        <v>0</v>
      </c>
      <c r="AA167" s="4">
        <v>0</v>
      </c>
      <c r="AB167" s="4">
        <v>0</v>
      </c>
      <c r="AC167" s="4">
        <v>0</v>
      </c>
      <c r="AD167" s="4">
        <v>28</v>
      </c>
      <c r="AE167" s="4">
        <v>54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10">
        <f t="shared" si="8"/>
        <v>221</v>
      </c>
      <c r="AP167" s="10">
        <f t="shared" si="9"/>
        <v>133.5</v>
      </c>
      <c r="AQ167" s="1">
        <f t="shared" si="10"/>
        <v>354.5</v>
      </c>
      <c r="AR167" s="1">
        <f t="shared" si="11"/>
        <v>-10.25</v>
      </c>
    </row>
    <row r="168" spans="1:44" x14ac:dyDescent="0.2">
      <c r="A168" s="3">
        <v>161</v>
      </c>
      <c r="B168" s="3" t="s">
        <v>200</v>
      </c>
      <c r="C168" s="3" t="s">
        <v>32</v>
      </c>
      <c r="D168" s="3">
        <v>1</v>
      </c>
      <c r="E168" s="3" t="s">
        <v>186</v>
      </c>
      <c r="F168" s="4">
        <v>1459</v>
      </c>
      <c r="G168" s="4">
        <v>890</v>
      </c>
      <c r="H168" s="4">
        <v>569</v>
      </c>
      <c r="I168" s="4">
        <v>882.38</v>
      </c>
      <c r="J168" s="4">
        <v>294.5</v>
      </c>
      <c r="K168" s="4">
        <v>6</v>
      </c>
      <c r="L168" s="4">
        <v>0</v>
      </c>
      <c r="M168" s="4">
        <v>105</v>
      </c>
      <c r="N168" s="4">
        <v>28</v>
      </c>
      <c r="O168" s="4">
        <v>72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309</v>
      </c>
      <c r="Z168" s="4">
        <v>98</v>
      </c>
      <c r="AA168" s="4">
        <v>6</v>
      </c>
      <c r="AB168" s="4">
        <v>0</v>
      </c>
      <c r="AC168" s="4">
        <v>105</v>
      </c>
      <c r="AD168" s="4">
        <v>28</v>
      </c>
      <c r="AE168" s="4">
        <v>72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10">
        <f t="shared" si="8"/>
        <v>882.38</v>
      </c>
      <c r="AP168" s="10">
        <f t="shared" si="9"/>
        <v>505.5</v>
      </c>
      <c r="AQ168" s="1">
        <f t="shared" si="10"/>
        <v>1387.88</v>
      </c>
      <c r="AR168" s="1">
        <f t="shared" si="11"/>
        <v>-71.119999999999891</v>
      </c>
    </row>
    <row r="169" spans="1:44" x14ac:dyDescent="0.2">
      <c r="A169" s="3">
        <v>162</v>
      </c>
      <c r="B169" s="3" t="s">
        <v>201</v>
      </c>
      <c r="C169" s="3" t="s">
        <v>32</v>
      </c>
      <c r="D169" s="3">
        <v>2</v>
      </c>
      <c r="E169" s="3" t="s">
        <v>186</v>
      </c>
      <c r="F169" s="4">
        <v>2918</v>
      </c>
      <c r="G169" s="4">
        <v>1780</v>
      </c>
      <c r="H169" s="4">
        <v>1138</v>
      </c>
      <c r="I169" s="4">
        <v>1279</v>
      </c>
      <c r="J169" s="4">
        <v>388.5</v>
      </c>
      <c r="K169" s="4">
        <v>10</v>
      </c>
      <c r="L169" s="4">
        <v>0</v>
      </c>
      <c r="M169" s="4">
        <v>30</v>
      </c>
      <c r="N169" s="4">
        <v>28</v>
      </c>
      <c r="O169" s="4">
        <v>160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327</v>
      </c>
      <c r="Z169" s="4">
        <v>99</v>
      </c>
      <c r="AA169" s="4">
        <v>10</v>
      </c>
      <c r="AB169" s="4">
        <v>0</v>
      </c>
      <c r="AC169" s="4">
        <v>30</v>
      </c>
      <c r="AD169" s="4">
        <v>28</v>
      </c>
      <c r="AE169" s="4">
        <v>160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10">
        <f t="shared" si="8"/>
        <v>1279</v>
      </c>
      <c r="AP169" s="10">
        <f t="shared" si="9"/>
        <v>616.5</v>
      </c>
      <c r="AQ169" s="1">
        <f t="shared" si="10"/>
        <v>1895.5</v>
      </c>
      <c r="AR169" s="1">
        <f t="shared" si="11"/>
        <v>-1022.5</v>
      </c>
    </row>
    <row r="170" spans="1:44" x14ac:dyDescent="0.2">
      <c r="A170" s="3">
        <v>163</v>
      </c>
      <c r="B170" s="3" t="s">
        <v>202</v>
      </c>
      <c r="C170" s="3" t="s">
        <v>32</v>
      </c>
      <c r="D170" s="3">
        <v>1</v>
      </c>
      <c r="E170" s="3" t="s">
        <v>186</v>
      </c>
      <c r="F170" s="4">
        <v>1459</v>
      </c>
      <c r="G170" s="4">
        <v>890</v>
      </c>
      <c r="H170" s="4">
        <v>569</v>
      </c>
      <c r="I170" s="4">
        <v>889.5</v>
      </c>
      <c r="J170" s="4">
        <v>247.25</v>
      </c>
      <c r="K170" s="4">
        <v>22</v>
      </c>
      <c r="L170" s="4">
        <v>0</v>
      </c>
      <c r="M170" s="4">
        <v>60</v>
      </c>
      <c r="N170" s="4">
        <v>28</v>
      </c>
      <c r="O170" s="4">
        <v>216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374.25</v>
      </c>
      <c r="Z170" s="4">
        <v>48.25</v>
      </c>
      <c r="AA170" s="4">
        <v>22</v>
      </c>
      <c r="AB170" s="4">
        <v>0</v>
      </c>
      <c r="AC170" s="4">
        <v>60</v>
      </c>
      <c r="AD170" s="4">
        <v>28</v>
      </c>
      <c r="AE170" s="4">
        <v>216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10">
        <f t="shared" si="8"/>
        <v>889.5</v>
      </c>
      <c r="AP170" s="10">
        <f t="shared" si="9"/>
        <v>573.25</v>
      </c>
      <c r="AQ170" s="1">
        <f t="shared" si="10"/>
        <v>1462.75</v>
      </c>
      <c r="AR170" s="1">
        <f t="shared" si="11"/>
        <v>3.75</v>
      </c>
    </row>
    <row r="171" spans="1:44" x14ac:dyDescent="0.2">
      <c r="A171" s="3">
        <v>164</v>
      </c>
      <c r="B171" s="3" t="s">
        <v>203</v>
      </c>
      <c r="C171" s="3" t="s">
        <v>36</v>
      </c>
      <c r="D171" s="3">
        <v>1</v>
      </c>
      <c r="E171" s="3" t="s">
        <v>186</v>
      </c>
      <c r="F171" s="4">
        <v>1459</v>
      </c>
      <c r="G171" s="4">
        <v>890</v>
      </c>
      <c r="H171" s="4">
        <v>569</v>
      </c>
      <c r="I171" s="4">
        <v>886</v>
      </c>
      <c r="J171" s="4">
        <v>268.75</v>
      </c>
      <c r="K171" s="4">
        <v>0</v>
      </c>
      <c r="L171" s="4">
        <v>0</v>
      </c>
      <c r="M171" s="4">
        <v>137</v>
      </c>
      <c r="N171" s="4">
        <v>52.6</v>
      </c>
      <c r="O171" s="4">
        <v>124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381.85</v>
      </c>
      <c r="Z171" s="4">
        <v>68.25</v>
      </c>
      <c r="AA171" s="4">
        <v>0</v>
      </c>
      <c r="AB171" s="4">
        <v>0</v>
      </c>
      <c r="AC171" s="4">
        <v>137</v>
      </c>
      <c r="AD171" s="4">
        <v>52.6</v>
      </c>
      <c r="AE171" s="4">
        <v>124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10">
        <f t="shared" si="8"/>
        <v>886</v>
      </c>
      <c r="AP171" s="10">
        <f t="shared" si="9"/>
        <v>582.35</v>
      </c>
      <c r="AQ171" s="1">
        <f t="shared" si="10"/>
        <v>1468.35</v>
      </c>
      <c r="AR171" s="1">
        <f t="shared" si="11"/>
        <v>9.3499999999999091</v>
      </c>
    </row>
    <row r="172" spans="1:44" x14ac:dyDescent="0.2">
      <c r="A172" s="3">
        <v>165</v>
      </c>
      <c r="B172" s="3" t="s">
        <v>204</v>
      </c>
      <c r="C172" s="3" t="s">
        <v>27</v>
      </c>
      <c r="D172" s="3">
        <v>1</v>
      </c>
      <c r="E172" s="3" t="s">
        <v>186</v>
      </c>
      <c r="F172" s="4">
        <v>1459</v>
      </c>
      <c r="G172" s="4">
        <v>890</v>
      </c>
      <c r="H172" s="4">
        <v>569</v>
      </c>
      <c r="I172" s="4">
        <v>820</v>
      </c>
      <c r="J172" s="4">
        <v>189.75</v>
      </c>
      <c r="K172" s="4">
        <v>399</v>
      </c>
      <c r="L172" s="4">
        <v>0</v>
      </c>
      <c r="M172" s="4">
        <v>0</v>
      </c>
      <c r="N172" s="4">
        <v>28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438.25</v>
      </c>
      <c r="Z172" s="4">
        <v>11.25</v>
      </c>
      <c r="AA172" s="4">
        <v>399</v>
      </c>
      <c r="AB172" s="4">
        <v>0</v>
      </c>
      <c r="AC172" s="4">
        <v>0</v>
      </c>
      <c r="AD172" s="4">
        <v>28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10">
        <f t="shared" si="8"/>
        <v>820</v>
      </c>
      <c r="AP172" s="10">
        <f t="shared" si="9"/>
        <v>616.75</v>
      </c>
      <c r="AQ172" s="1">
        <f t="shared" si="10"/>
        <v>1436.75</v>
      </c>
      <c r="AR172" s="1">
        <f t="shared" si="11"/>
        <v>-22.25</v>
      </c>
    </row>
    <row r="173" spans="1:44" x14ac:dyDescent="0.2">
      <c r="A173" s="3">
        <v>166</v>
      </c>
      <c r="B173" s="3" t="s">
        <v>205</v>
      </c>
      <c r="C173" s="3" t="s">
        <v>32</v>
      </c>
      <c r="D173" s="3">
        <v>0.75</v>
      </c>
      <c r="E173" s="3" t="s">
        <v>186</v>
      </c>
      <c r="F173" s="4">
        <v>1094.25</v>
      </c>
      <c r="G173" s="4">
        <v>667.5</v>
      </c>
      <c r="H173" s="4">
        <v>426.75</v>
      </c>
      <c r="I173" s="4">
        <v>620</v>
      </c>
      <c r="J173" s="4">
        <v>196</v>
      </c>
      <c r="K173" s="4">
        <v>46</v>
      </c>
      <c r="L173" s="4">
        <v>0</v>
      </c>
      <c r="M173" s="4">
        <v>85</v>
      </c>
      <c r="N173" s="4">
        <v>68</v>
      </c>
      <c r="O173" s="4">
        <v>72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332</v>
      </c>
      <c r="Z173" s="4">
        <v>61</v>
      </c>
      <c r="AA173" s="4">
        <v>46</v>
      </c>
      <c r="AB173" s="4">
        <v>0</v>
      </c>
      <c r="AC173" s="4">
        <v>85</v>
      </c>
      <c r="AD173" s="4">
        <v>68</v>
      </c>
      <c r="AE173" s="4">
        <v>72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10">
        <f t="shared" si="8"/>
        <v>620</v>
      </c>
      <c r="AP173" s="10">
        <f t="shared" si="9"/>
        <v>467</v>
      </c>
      <c r="AQ173" s="1">
        <f t="shared" si="10"/>
        <v>1087</v>
      </c>
      <c r="AR173" s="1">
        <f t="shared" si="11"/>
        <v>-7.25</v>
      </c>
    </row>
    <row r="174" spans="1:44" x14ac:dyDescent="0.2">
      <c r="A174" s="3">
        <v>167</v>
      </c>
      <c r="B174" s="3" t="s">
        <v>206</v>
      </c>
      <c r="C174" s="3" t="s">
        <v>32</v>
      </c>
      <c r="D174" s="3">
        <v>1</v>
      </c>
      <c r="E174" s="3" t="s">
        <v>186</v>
      </c>
      <c r="F174" s="4">
        <v>1459</v>
      </c>
      <c r="G174" s="4">
        <v>890</v>
      </c>
      <c r="H174" s="4">
        <v>569</v>
      </c>
      <c r="I174" s="4">
        <v>889.5</v>
      </c>
      <c r="J174" s="4">
        <v>267</v>
      </c>
      <c r="K174" s="4">
        <v>66</v>
      </c>
      <c r="L174" s="4">
        <v>0</v>
      </c>
      <c r="M174" s="4">
        <v>60</v>
      </c>
      <c r="N174" s="4">
        <v>28</v>
      </c>
      <c r="O174" s="4">
        <v>144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317</v>
      </c>
      <c r="Z174" s="4">
        <v>69</v>
      </c>
      <c r="AA174" s="4">
        <v>16</v>
      </c>
      <c r="AB174" s="4">
        <v>0</v>
      </c>
      <c r="AC174" s="4">
        <v>60</v>
      </c>
      <c r="AD174" s="4">
        <v>28</v>
      </c>
      <c r="AE174" s="4">
        <v>144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10">
        <f t="shared" si="8"/>
        <v>889.5</v>
      </c>
      <c r="AP174" s="10">
        <f t="shared" si="9"/>
        <v>565</v>
      </c>
      <c r="AQ174" s="1">
        <f t="shared" si="10"/>
        <v>1454.5</v>
      </c>
      <c r="AR174" s="1">
        <f t="shared" si="11"/>
        <v>-4.5</v>
      </c>
    </row>
    <row r="175" spans="1:44" x14ac:dyDescent="0.2">
      <c r="A175" s="3">
        <v>168</v>
      </c>
      <c r="B175" s="3" t="s">
        <v>207</v>
      </c>
      <c r="C175" s="3" t="s">
        <v>32</v>
      </c>
      <c r="D175" s="3">
        <v>1</v>
      </c>
      <c r="E175" s="3" t="s">
        <v>186</v>
      </c>
      <c r="F175" s="4">
        <v>1459</v>
      </c>
      <c r="G175" s="4">
        <v>890</v>
      </c>
      <c r="H175" s="4">
        <v>569</v>
      </c>
      <c r="I175" s="4">
        <v>652.5</v>
      </c>
      <c r="J175" s="4">
        <v>215</v>
      </c>
      <c r="K175" s="4">
        <v>16</v>
      </c>
      <c r="L175" s="4">
        <v>0</v>
      </c>
      <c r="M175" s="4">
        <v>60</v>
      </c>
      <c r="N175" s="4">
        <v>68</v>
      </c>
      <c r="O175" s="4">
        <v>72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283</v>
      </c>
      <c r="Z175" s="4">
        <v>67</v>
      </c>
      <c r="AA175" s="4">
        <v>16</v>
      </c>
      <c r="AB175" s="4">
        <v>0</v>
      </c>
      <c r="AC175" s="4">
        <v>60</v>
      </c>
      <c r="AD175" s="4">
        <v>68</v>
      </c>
      <c r="AE175" s="4">
        <v>72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10">
        <f t="shared" si="8"/>
        <v>652.5</v>
      </c>
      <c r="AP175" s="10">
        <f t="shared" si="9"/>
        <v>431</v>
      </c>
      <c r="AQ175" s="1">
        <f t="shared" si="10"/>
        <v>1083.5</v>
      </c>
      <c r="AR175" s="1">
        <f t="shared" si="11"/>
        <v>-375.5</v>
      </c>
    </row>
    <row r="176" spans="1:44" x14ac:dyDescent="0.2">
      <c r="A176" s="3">
        <v>169</v>
      </c>
      <c r="B176" s="3" t="s">
        <v>208</v>
      </c>
      <c r="C176" s="3" t="s">
        <v>27</v>
      </c>
      <c r="D176" s="3">
        <v>1</v>
      </c>
      <c r="E176" s="3" t="s">
        <v>186</v>
      </c>
      <c r="F176" s="4">
        <v>1459</v>
      </c>
      <c r="G176" s="4">
        <v>890</v>
      </c>
      <c r="H176" s="4">
        <v>569</v>
      </c>
      <c r="I176" s="4">
        <v>450</v>
      </c>
      <c r="J176" s="4">
        <v>130.5</v>
      </c>
      <c r="K176" s="4">
        <v>247.5</v>
      </c>
      <c r="L176" s="4">
        <v>0</v>
      </c>
      <c r="M176" s="4">
        <v>0</v>
      </c>
      <c r="N176" s="4">
        <v>28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304.5</v>
      </c>
      <c r="Z176" s="4">
        <v>29</v>
      </c>
      <c r="AA176" s="4">
        <v>247.5</v>
      </c>
      <c r="AB176" s="4">
        <v>0</v>
      </c>
      <c r="AC176" s="4">
        <v>0</v>
      </c>
      <c r="AD176" s="4">
        <v>28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10">
        <f t="shared" si="8"/>
        <v>450</v>
      </c>
      <c r="AP176" s="10">
        <f t="shared" si="9"/>
        <v>406</v>
      </c>
      <c r="AQ176" s="1">
        <f t="shared" si="10"/>
        <v>856</v>
      </c>
      <c r="AR176" s="1">
        <f t="shared" si="11"/>
        <v>-603</v>
      </c>
    </row>
    <row r="177" spans="1:44" x14ac:dyDescent="0.2">
      <c r="A177" s="3">
        <v>170</v>
      </c>
      <c r="B177" s="3" t="s">
        <v>209</v>
      </c>
      <c r="C177" s="3" t="s">
        <v>36</v>
      </c>
      <c r="D177" s="3">
        <v>0.5</v>
      </c>
      <c r="E177" s="3" t="s">
        <v>186</v>
      </c>
      <c r="F177" s="4">
        <v>729.5</v>
      </c>
      <c r="G177" s="4">
        <v>445</v>
      </c>
      <c r="H177" s="4">
        <v>284.5</v>
      </c>
      <c r="I177" s="4">
        <v>435</v>
      </c>
      <c r="J177" s="4">
        <v>118</v>
      </c>
      <c r="K177" s="4">
        <v>0</v>
      </c>
      <c r="L177" s="4">
        <v>0</v>
      </c>
      <c r="M177" s="4">
        <v>0</v>
      </c>
      <c r="N177" s="4">
        <v>68</v>
      </c>
      <c r="O177" s="4">
        <v>52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139</v>
      </c>
      <c r="Z177" s="4">
        <v>19</v>
      </c>
      <c r="AA177" s="4">
        <v>0</v>
      </c>
      <c r="AB177" s="4">
        <v>0</v>
      </c>
      <c r="AC177" s="4">
        <v>0</v>
      </c>
      <c r="AD177" s="4">
        <v>68</v>
      </c>
      <c r="AE177" s="4">
        <v>52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10">
        <f t="shared" si="8"/>
        <v>435</v>
      </c>
      <c r="AP177" s="10">
        <f t="shared" si="9"/>
        <v>238</v>
      </c>
      <c r="AQ177" s="1">
        <f t="shared" si="10"/>
        <v>673</v>
      </c>
      <c r="AR177" s="1">
        <f t="shared" si="11"/>
        <v>-56.5</v>
      </c>
    </row>
    <row r="178" spans="1:44" x14ac:dyDescent="0.2">
      <c r="A178" s="3">
        <v>171</v>
      </c>
      <c r="B178" s="3" t="s">
        <v>210</v>
      </c>
      <c r="C178" s="3" t="s">
        <v>27</v>
      </c>
      <c r="D178" s="3">
        <v>1.5</v>
      </c>
      <c r="E178" s="3" t="s">
        <v>186</v>
      </c>
      <c r="F178" s="4">
        <v>2188.5</v>
      </c>
      <c r="G178" s="4">
        <v>1335</v>
      </c>
      <c r="H178" s="4">
        <v>853.5</v>
      </c>
      <c r="I178" s="4">
        <v>1229.5</v>
      </c>
      <c r="J178" s="4">
        <v>300.26</v>
      </c>
      <c r="K178" s="11">
        <v>442</v>
      </c>
      <c r="L178" s="4">
        <v>0</v>
      </c>
      <c r="M178" s="4">
        <v>93</v>
      </c>
      <c r="N178" s="4">
        <v>28</v>
      </c>
      <c r="O178" s="4">
        <v>72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684.26</v>
      </c>
      <c r="Z178" s="4">
        <v>49.26</v>
      </c>
      <c r="AA178" s="4">
        <v>442</v>
      </c>
      <c r="AB178" s="4">
        <v>0</v>
      </c>
      <c r="AC178" s="4">
        <v>93</v>
      </c>
      <c r="AD178" s="4">
        <v>28</v>
      </c>
      <c r="AE178" s="4">
        <v>72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10">
        <f t="shared" si="8"/>
        <v>1229.5</v>
      </c>
      <c r="AP178" s="10">
        <f t="shared" si="9"/>
        <v>935.26</v>
      </c>
      <c r="AQ178" s="1">
        <f t="shared" si="10"/>
        <v>2164.7600000000002</v>
      </c>
      <c r="AR178" s="1">
        <f t="shared" si="11"/>
        <v>-23.739999999999782</v>
      </c>
    </row>
    <row r="179" spans="1:44" x14ac:dyDescent="0.2">
      <c r="A179" s="3">
        <v>172</v>
      </c>
      <c r="B179" s="3" t="s">
        <v>211</v>
      </c>
      <c r="C179" s="3" t="s">
        <v>32</v>
      </c>
      <c r="D179" s="3">
        <v>1</v>
      </c>
      <c r="E179" s="3" t="s">
        <v>186</v>
      </c>
      <c r="F179" s="4">
        <v>1459</v>
      </c>
      <c r="G179" s="4">
        <v>890</v>
      </c>
      <c r="H179" s="4">
        <v>569</v>
      </c>
      <c r="I179" s="4">
        <v>885</v>
      </c>
      <c r="J179" s="4">
        <v>242</v>
      </c>
      <c r="K179" s="4">
        <v>43</v>
      </c>
      <c r="L179" s="4">
        <v>0</v>
      </c>
      <c r="M179" s="4">
        <v>0</v>
      </c>
      <c r="N179" s="4">
        <v>28</v>
      </c>
      <c r="O179" s="4">
        <v>18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131</v>
      </c>
      <c r="Z179" s="4">
        <v>42</v>
      </c>
      <c r="AA179" s="4">
        <v>43</v>
      </c>
      <c r="AB179" s="4">
        <v>0</v>
      </c>
      <c r="AC179" s="4">
        <v>0</v>
      </c>
      <c r="AD179" s="4">
        <v>28</v>
      </c>
      <c r="AE179" s="4">
        <v>18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10">
        <f t="shared" si="8"/>
        <v>885</v>
      </c>
      <c r="AP179" s="10">
        <f t="shared" si="9"/>
        <v>331</v>
      </c>
      <c r="AQ179" s="1">
        <f t="shared" si="10"/>
        <v>1216</v>
      </c>
      <c r="AR179" s="1">
        <f t="shared" si="11"/>
        <v>-243</v>
      </c>
    </row>
    <row r="180" spans="1:44" x14ac:dyDescent="0.2">
      <c r="A180" s="3">
        <v>173</v>
      </c>
      <c r="B180" s="3" t="s">
        <v>212</v>
      </c>
      <c r="C180" s="3" t="s">
        <v>36</v>
      </c>
      <c r="D180" s="3">
        <v>0.25</v>
      </c>
      <c r="E180" s="3" t="s">
        <v>186</v>
      </c>
      <c r="F180" s="4">
        <v>364.75</v>
      </c>
      <c r="G180" s="4">
        <v>222.5</v>
      </c>
      <c r="H180" s="4">
        <v>142.25</v>
      </c>
      <c r="I180" s="4">
        <v>222</v>
      </c>
      <c r="J180" s="4">
        <v>73.5</v>
      </c>
      <c r="K180" s="4">
        <v>12</v>
      </c>
      <c r="L180" s="4">
        <v>0</v>
      </c>
      <c r="M180" s="4">
        <v>0</v>
      </c>
      <c r="N180" s="4">
        <v>28</v>
      </c>
      <c r="O180" s="4">
        <v>36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96.5</v>
      </c>
      <c r="Z180" s="4">
        <v>20.5</v>
      </c>
      <c r="AA180" s="4">
        <v>12</v>
      </c>
      <c r="AB180" s="4">
        <v>0</v>
      </c>
      <c r="AC180" s="4">
        <v>0</v>
      </c>
      <c r="AD180" s="4">
        <v>28</v>
      </c>
      <c r="AE180" s="4">
        <v>36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10">
        <f t="shared" si="8"/>
        <v>222</v>
      </c>
      <c r="AP180" s="10">
        <f t="shared" si="9"/>
        <v>149.5</v>
      </c>
      <c r="AQ180" s="1">
        <f t="shared" si="10"/>
        <v>371.5</v>
      </c>
      <c r="AR180" s="1">
        <f t="shared" si="11"/>
        <v>6.75</v>
      </c>
    </row>
    <row r="181" spans="1:44" x14ac:dyDescent="0.2">
      <c r="A181" s="3">
        <v>174</v>
      </c>
      <c r="B181" s="3" t="s">
        <v>213</v>
      </c>
      <c r="C181" s="3" t="s">
        <v>32</v>
      </c>
      <c r="D181" s="3">
        <v>0.5</v>
      </c>
      <c r="E181" s="3" t="s">
        <v>186</v>
      </c>
      <c r="F181" s="4">
        <v>729.5</v>
      </c>
      <c r="G181" s="4">
        <v>445</v>
      </c>
      <c r="H181" s="4">
        <v>284.5</v>
      </c>
      <c r="I181" s="4">
        <v>381</v>
      </c>
      <c r="J181" s="4">
        <v>114.5</v>
      </c>
      <c r="K181" s="4">
        <v>21</v>
      </c>
      <c r="L181" s="4">
        <v>0</v>
      </c>
      <c r="M181" s="4">
        <v>40</v>
      </c>
      <c r="N181" s="4">
        <v>28</v>
      </c>
      <c r="O181" s="4">
        <v>124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242.5</v>
      </c>
      <c r="Z181" s="4">
        <v>29.5</v>
      </c>
      <c r="AA181" s="4">
        <v>21</v>
      </c>
      <c r="AB181" s="4">
        <v>0</v>
      </c>
      <c r="AC181" s="4">
        <v>40</v>
      </c>
      <c r="AD181" s="4">
        <v>28</v>
      </c>
      <c r="AE181" s="4">
        <v>124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10">
        <f t="shared" si="8"/>
        <v>381</v>
      </c>
      <c r="AP181" s="10">
        <f t="shared" si="9"/>
        <v>327.5</v>
      </c>
      <c r="AQ181" s="1">
        <f t="shared" si="10"/>
        <v>708.5</v>
      </c>
      <c r="AR181" s="1">
        <f t="shared" si="11"/>
        <v>-21</v>
      </c>
    </row>
    <row r="182" spans="1:44" x14ac:dyDescent="0.2">
      <c r="A182" s="3">
        <v>175</v>
      </c>
      <c r="B182" s="3" t="s">
        <v>214</v>
      </c>
      <c r="C182" s="3" t="s">
        <v>32</v>
      </c>
      <c r="D182" s="3">
        <v>0.15</v>
      </c>
      <c r="E182" s="3" t="s">
        <v>186</v>
      </c>
      <c r="F182" s="4">
        <v>218.85</v>
      </c>
      <c r="G182" s="4">
        <v>133.5</v>
      </c>
      <c r="H182" s="4">
        <v>85.35</v>
      </c>
      <c r="I182" s="4">
        <v>133</v>
      </c>
      <c r="J182" s="4">
        <v>31.5</v>
      </c>
      <c r="K182" s="4">
        <v>0</v>
      </c>
      <c r="L182" s="4">
        <v>0</v>
      </c>
      <c r="M182" s="4">
        <v>0</v>
      </c>
      <c r="N182" s="4">
        <v>44.2</v>
      </c>
      <c r="O182" s="4">
        <v>18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62.2</v>
      </c>
      <c r="Z182" s="4">
        <v>0</v>
      </c>
      <c r="AA182" s="4">
        <v>0</v>
      </c>
      <c r="AB182" s="4">
        <v>0</v>
      </c>
      <c r="AC182" s="4">
        <v>0</v>
      </c>
      <c r="AD182" s="4">
        <v>44.2</v>
      </c>
      <c r="AE182" s="4">
        <v>18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10">
        <f t="shared" si="8"/>
        <v>133</v>
      </c>
      <c r="AP182" s="10">
        <f t="shared" si="9"/>
        <v>93.7</v>
      </c>
      <c r="AQ182" s="1">
        <f t="shared" si="10"/>
        <v>226.7</v>
      </c>
      <c r="AR182" s="1">
        <f t="shared" si="11"/>
        <v>7.8499999999999943</v>
      </c>
    </row>
    <row r="183" spans="1:44" x14ac:dyDescent="0.2">
      <c r="A183" s="3">
        <v>176</v>
      </c>
      <c r="B183" s="3" t="s">
        <v>215</v>
      </c>
      <c r="C183" s="3" t="s">
        <v>32</v>
      </c>
      <c r="D183" s="3">
        <v>1</v>
      </c>
      <c r="E183" s="3" t="s">
        <v>186</v>
      </c>
      <c r="F183" s="4">
        <v>1459</v>
      </c>
      <c r="G183" s="4">
        <v>890</v>
      </c>
      <c r="H183" s="4">
        <v>569</v>
      </c>
      <c r="I183" s="4">
        <v>889</v>
      </c>
      <c r="J183" s="4">
        <v>305.75</v>
      </c>
      <c r="K183" s="4">
        <v>6</v>
      </c>
      <c r="L183" s="4">
        <v>0</v>
      </c>
      <c r="M183" s="4">
        <v>60</v>
      </c>
      <c r="N183" s="4">
        <v>108</v>
      </c>
      <c r="O183" s="4">
        <v>72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360.25</v>
      </c>
      <c r="Z183" s="4">
        <v>114.25</v>
      </c>
      <c r="AA183" s="4">
        <v>6</v>
      </c>
      <c r="AB183" s="4">
        <v>0</v>
      </c>
      <c r="AC183" s="4">
        <v>60</v>
      </c>
      <c r="AD183" s="4">
        <v>108</v>
      </c>
      <c r="AE183" s="4">
        <v>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10">
        <f t="shared" si="8"/>
        <v>889</v>
      </c>
      <c r="AP183" s="10">
        <f t="shared" si="9"/>
        <v>551.75</v>
      </c>
      <c r="AQ183" s="1">
        <f t="shared" si="10"/>
        <v>1440.75</v>
      </c>
      <c r="AR183" s="1">
        <f t="shared" si="11"/>
        <v>-18.25</v>
      </c>
    </row>
    <row r="184" spans="1:44" x14ac:dyDescent="0.2">
      <c r="A184" s="3">
        <v>177</v>
      </c>
      <c r="B184" s="3" t="s">
        <v>216</v>
      </c>
      <c r="C184" s="3" t="s">
        <v>27</v>
      </c>
      <c r="D184" s="3">
        <v>0.5</v>
      </c>
      <c r="E184" s="3" t="s">
        <v>186</v>
      </c>
      <c r="F184" s="4">
        <v>729.5</v>
      </c>
      <c r="G184" s="4">
        <v>445</v>
      </c>
      <c r="H184" s="4">
        <v>284.5</v>
      </c>
      <c r="I184" s="4">
        <v>395</v>
      </c>
      <c r="J184" s="4">
        <v>111.25</v>
      </c>
      <c r="K184" s="4">
        <v>0</v>
      </c>
      <c r="L184" s="4">
        <v>0</v>
      </c>
      <c r="M184" s="4">
        <v>0</v>
      </c>
      <c r="N184" s="4">
        <v>28</v>
      </c>
      <c r="O184" s="4">
        <v>34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83.25</v>
      </c>
      <c r="Z184" s="4">
        <v>21.25</v>
      </c>
      <c r="AA184" s="4">
        <v>0</v>
      </c>
      <c r="AB184" s="4">
        <v>0</v>
      </c>
      <c r="AC184" s="4">
        <v>0</v>
      </c>
      <c r="AD184" s="4">
        <v>28</v>
      </c>
      <c r="AE184" s="4">
        <v>34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10">
        <f t="shared" si="8"/>
        <v>395</v>
      </c>
      <c r="AP184" s="10">
        <f t="shared" si="9"/>
        <v>173.25</v>
      </c>
      <c r="AQ184" s="1">
        <f t="shared" si="10"/>
        <v>568.25</v>
      </c>
      <c r="AR184" s="1">
        <f t="shared" si="11"/>
        <v>-161.25</v>
      </c>
    </row>
    <row r="185" spans="1:44" x14ac:dyDescent="0.2">
      <c r="A185" s="3">
        <v>178</v>
      </c>
      <c r="B185" s="3" t="s">
        <v>217</v>
      </c>
      <c r="C185" s="3" t="s">
        <v>27</v>
      </c>
      <c r="D185" s="3">
        <v>1.5</v>
      </c>
      <c r="E185" s="3" t="s">
        <v>186</v>
      </c>
      <c r="F185" s="4">
        <v>2188.5</v>
      </c>
      <c r="G185" s="4">
        <v>1335</v>
      </c>
      <c r="H185" s="4">
        <v>853.5</v>
      </c>
      <c r="I185" s="4">
        <v>1185.5</v>
      </c>
      <c r="J185" s="4">
        <v>287.25</v>
      </c>
      <c r="K185" s="4">
        <v>22.4</v>
      </c>
      <c r="L185" s="4">
        <v>0</v>
      </c>
      <c r="M185" s="4">
        <v>148</v>
      </c>
      <c r="N185" s="4">
        <v>68</v>
      </c>
      <c r="O185" s="4">
        <v>180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512.15</v>
      </c>
      <c r="Z185" s="4">
        <v>93.75</v>
      </c>
      <c r="AA185" s="4">
        <v>22.4</v>
      </c>
      <c r="AB185" s="4">
        <v>0</v>
      </c>
      <c r="AC185" s="4">
        <v>148</v>
      </c>
      <c r="AD185" s="4">
        <v>68</v>
      </c>
      <c r="AE185" s="4">
        <v>180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10">
        <f t="shared" si="8"/>
        <v>1185.5</v>
      </c>
      <c r="AP185" s="10">
        <f t="shared" si="9"/>
        <v>705.65</v>
      </c>
      <c r="AQ185" s="1">
        <f t="shared" si="10"/>
        <v>1891.15</v>
      </c>
      <c r="AR185" s="1">
        <f t="shared" si="11"/>
        <v>-297.34999999999991</v>
      </c>
    </row>
    <row r="186" spans="1:44" x14ac:dyDescent="0.2">
      <c r="A186" s="3">
        <v>179</v>
      </c>
      <c r="B186" s="3" t="s">
        <v>218</v>
      </c>
      <c r="C186" s="3" t="s">
        <v>32</v>
      </c>
      <c r="D186" s="3">
        <v>1</v>
      </c>
      <c r="E186" s="3" t="s">
        <v>186</v>
      </c>
      <c r="F186" s="4">
        <v>1459</v>
      </c>
      <c r="G186" s="4">
        <v>890</v>
      </c>
      <c r="H186" s="4">
        <v>569</v>
      </c>
      <c r="I186" s="4">
        <v>872.5</v>
      </c>
      <c r="J186" s="4">
        <v>274.25</v>
      </c>
      <c r="K186" s="4">
        <v>60</v>
      </c>
      <c r="L186" s="4">
        <v>0</v>
      </c>
      <c r="M186" s="4">
        <v>30</v>
      </c>
      <c r="N186" s="4">
        <v>28</v>
      </c>
      <c r="O186" s="4">
        <v>180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380.75</v>
      </c>
      <c r="Z186" s="4">
        <v>82.75</v>
      </c>
      <c r="AA186" s="4">
        <v>60</v>
      </c>
      <c r="AB186" s="4">
        <v>0</v>
      </c>
      <c r="AC186" s="4">
        <v>30</v>
      </c>
      <c r="AD186" s="4">
        <v>28</v>
      </c>
      <c r="AE186" s="4">
        <v>180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10">
        <f t="shared" si="8"/>
        <v>872.5</v>
      </c>
      <c r="AP186" s="10">
        <f t="shared" si="9"/>
        <v>572.25</v>
      </c>
      <c r="AQ186" s="1">
        <f t="shared" si="10"/>
        <v>1444.75</v>
      </c>
      <c r="AR186" s="1">
        <f t="shared" si="11"/>
        <v>-14.25</v>
      </c>
    </row>
    <row r="187" spans="1:44" x14ac:dyDescent="0.2">
      <c r="A187" s="3">
        <v>180</v>
      </c>
      <c r="B187" s="3" t="s">
        <v>219</v>
      </c>
      <c r="C187" s="3" t="s">
        <v>48</v>
      </c>
      <c r="D187" s="3">
        <v>1</v>
      </c>
      <c r="E187" s="3" t="s">
        <v>186</v>
      </c>
      <c r="F187" s="4">
        <v>1459</v>
      </c>
      <c r="G187" s="4">
        <v>890</v>
      </c>
      <c r="H187" s="4">
        <v>569</v>
      </c>
      <c r="I187" s="4">
        <v>525.5</v>
      </c>
      <c r="J187" s="4">
        <v>112.01</v>
      </c>
      <c r="K187" s="4">
        <v>25</v>
      </c>
      <c r="L187" s="4">
        <v>0</v>
      </c>
      <c r="M187" s="4">
        <v>584</v>
      </c>
      <c r="N187" s="4">
        <v>28</v>
      </c>
      <c r="O187" s="4">
        <v>180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845.01</v>
      </c>
      <c r="Z187" s="4">
        <v>28.01</v>
      </c>
      <c r="AA187" s="4">
        <v>25</v>
      </c>
      <c r="AB187" s="4">
        <v>0</v>
      </c>
      <c r="AC187" s="4">
        <v>584</v>
      </c>
      <c r="AD187" s="4">
        <v>28</v>
      </c>
      <c r="AE187" s="4">
        <v>180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10">
        <f t="shared" si="8"/>
        <v>525.5</v>
      </c>
      <c r="AP187" s="10">
        <f t="shared" si="9"/>
        <v>929.01</v>
      </c>
      <c r="AQ187" s="1">
        <f t="shared" si="10"/>
        <v>1454.51</v>
      </c>
      <c r="AR187" s="1">
        <f t="shared" si="11"/>
        <v>-4.4900000000000091</v>
      </c>
    </row>
    <row r="188" spans="1:44" x14ac:dyDescent="0.2">
      <c r="A188" s="3">
        <v>181</v>
      </c>
      <c r="B188" s="3" t="s">
        <v>220</v>
      </c>
      <c r="C188" s="3" t="s">
        <v>27</v>
      </c>
      <c r="D188" s="3">
        <v>1</v>
      </c>
      <c r="E188" s="3" t="s">
        <v>186</v>
      </c>
      <c r="F188" s="4">
        <v>1459</v>
      </c>
      <c r="G188" s="4">
        <v>890</v>
      </c>
      <c r="H188" s="4">
        <v>569</v>
      </c>
      <c r="I188" s="4">
        <v>804.5</v>
      </c>
      <c r="J188" s="4">
        <v>221.74</v>
      </c>
      <c r="K188" s="4">
        <v>32.4</v>
      </c>
      <c r="L188" s="4">
        <v>0</v>
      </c>
      <c r="M188" s="4">
        <v>338</v>
      </c>
      <c r="N188" s="4">
        <v>28</v>
      </c>
      <c r="O188" s="4">
        <v>36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526.64</v>
      </c>
      <c r="Z188" s="4">
        <v>92.24</v>
      </c>
      <c r="AA188" s="4">
        <v>32.4</v>
      </c>
      <c r="AB188" s="4">
        <v>0</v>
      </c>
      <c r="AC188" s="4">
        <v>338</v>
      </c>
      <c r="AD188" s="4">
        <v>28</v>
      </c>
      <c r="AE188" s="4">
        <v>36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10">
        <f t="shared" si="8"/>
        <v>804.5</v>
      </c>
      <c r="AP188" s="10">
        <f t="shared" si="9"/>
        <v>656.14</v>
      </c>
      <c r="AQ188" s="1">
        <f t="shared" si="10"/>
        <v>1460.6399999999999</v>
      </c>
      <c r="AR188" s="1">
        <f t="shared" si="11"/>
        <v>1.6399999999998727</v>
      </c>
    </row>
    <row r="189" spans="1:44" x14ac:dyDescent="0.2">
      <c r="A189" s="3">
        <v>182</v>
      </c>
      <c r="B189" s="3" t="s">
        <v>221</v>
      </c>
      <c r="C189" s="3" t="s">
        <v>32</v>
      </c>
      <c r="D189" s="3">
        <v>0.5</v>
      </c>
      <c r="E189" s="3" t="s">
        <v>186</v>
      </c>
      <c r="F189" s="4">
        <v>729.5</v>
      </c>
      <c r="G189" s="4">
        <v>445</v>
      </c>
      <c r="H189" s="4">
        <v>284.5</v>
      </c>
      <c r="I189" s="4">
        <v>444</v>
      </c>
      <c r="J189" s="4">
        <v>148.25</v>
      </c>
      <c r="K189" s="4">
        <v>67</v>
      </c>
      <c r="L189" s="4">
        <v>0</v>
      </c>
      <c r="M189" s="4">
        <v>38</v>
      </c>
      <c r="N189" s="4">
        <v>8.8000000000000007</v>
      </c>
      <c r="O189" s="4">
        <v>32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193.55</v>
      </c>
      <c r="Z189" s="4">
        <v>47.75</v>
      </c>
      <c r="AA189" s="4">
        <v>67</v>
      </c>
      <c r="AB189" s="4">
        <v>0</v>
      </c>
      <c r="AC189" s="4">
        <v>38</v>
      </c>
      <c r="AD189" s="4">
        <v>8.8000000000000007</v>
      </c>
      <c r="AE189" s="4">
        <v>32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10">
        <f t="shared" si="8"/>
        <v>444</v>
      </c>
      <c r="AP189" s="10">
        <f t="shared" si="9"/>
        <v>294.05</v>
      </c>
      <c r="AQ189" s="1">
        <f t="shared" si="10"/>
        <v>738.05</v>
      </c>
      <c r="AR189" s="1">
        <f t="shared" si="11"/>
        <v>8.5499999999999545</v>
      </c>
    </row>
    <row r="190" spans="1:44" x14ac:dyDescent="0.2">
      <c r="A190" s="3">
        <v>183</v>
      </c>
      <c r="B190" s="3" t="s">
        <v>222</v>
      </c>
      <c r="C190" s="3" t="s">
        <v>32</v>
      </c>
      <c r="D190" s="3">
        <v>0.25</v>
      </c>
      <c r="E190" s="3" t="s">
        <v>186</v>
      </c>
      <c r="F190" s="4">
        <v>364.75</v>
      </c>
      <c r="G190" s="4">
        <v>222.5</v>
      </c>
      <c r="H190" s="4">
        <v>142.25</v>
      </c>
      <c r="I190" s="4">
        <v>222</v>
      </c>
      <c r="J190" s="4">
        <v>66</v>
      </c>
      <c r="K190" s="4">
        <v>0</v>
      </c>
      <c r="L190" s="4">
        <v>0</v>
      </c>
      <c r="M190" s="4">
        <v>0</v>
      </c>
      <c r="N190" s="4">
        <v>18</v>
      </c>
      <c r="O190" s="4">
        <v>66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100.5</v>
      </c>
      <c r="Z190" s="4">
        <v>16.5</v>
      </c>
      <c r="AA190" s="4">
        <v>0</v>
      </c>
      <c r="AB190" s="4">
        <v>0</v>
      </c>
      <c r="AC190" s="4">
        <v>0</v>
      </c>
      <c r="AD190" s="4">
        <v>18</v>
      </c>
      <c r="AE190" s="4">
        <v>66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10">
        <f t="shared" si="8"/>
        <v>222</v>
      </c>
      <c r="AP190" s="10">
        <f t="shared" si="9"/>
        <v>150</v>
      </c>
      <c r="AQ190" s="1">
        <f t="shared" si="10"/>
        <v>372</v>
      </c>
      <c r="AR190" s="1">
        <f t="shared" si="11"/>
        <v>7.25</v>
      </c>
    </row>
    <row r="191" spans="1:44" x14ac:dyDescent="0.2">
      <c r="A191" s="3">
        <v>184</v>
      </c>
      <c r="B191" s="8" t="s">
        <v>223</v>
      </c>
      <c r="C191" s="3" t="s">
        <v>27</v>
      </c>
      <c r="D191" s="3">
        <v>1</v>
      </c>
      <c r="E191" s="3" t="s">
        <v>224</v>
      </c>
      <c r="F191" s="4">
        <v>1459</v>
      </c>
      <c r="G191" s="4">
        <v>890</v>
      </c>
      <c r="H191" s="4">
        <v>569</v>
      </c>
      <c r="I191" s="4">
        <v>889.8</v>
      </c>
      <c r="J191" s="4">
        <v>225.5</v>
      </c>
      <c r="K191" s="4">
        <v>80</v>
      </c>
      <c r="L191" s="4">
        <v>0</v>
      </c>
      <c r="M191" s="4">
        <v>150</v>
      </c>
      <c r="N191" s="4">
        <v>119.4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463.4</v>
      </c>
      <c r="Z191" s="4">
        <v>114</v>
      </c>
      <c r="AA191" s="4">
        <v>80</v>
      </c>
      <c r="AB191" s="4">
        <v>0</v>
      </c>
      <c r="AC191" s="4">
        <v>150</v>
      </c>
      <c r="AD191" s="4">
        <v>119.4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10">
        <f t="shared" si="8"/>
        <v>889.8</v>
      </c>
      <c r="AP191" s="10">
        <f t="shared" si="9"/>
        <v>574.9</v>
      </c>
      <c r="AQ191" s="1">
        <f t="shared" si="10"/>
        <v>1464.6999999999998</v>
      </c>
      <c r="AR191" s="1">
        <f t="shared" si="11"/>
        <v>5.6999999999998181</v>
      </c>
    </row>
    <row r="192" spans="1:44" x14ac:dyDescent="0.2">
      <c r="A192" s="3">
        <v>185</v>
      </c>
      <c r="B192" s="8" t="s">
        <v>225</v>
      </c>
      <c r="C192" s="3" t="s">
        <v>36</v>
      </c>
      <c r="D192" s="3">
        <v>0.15</v>
      </c>
      <c r="E192" s="3" t="s">
        <v>224</v>
      </c>
      <c r="F192" s="4">
        <v>218.85</v>
      </c>
      <c r="G192" s="4">
        <v>133.5</v>
      </c>
      <c r="H192" s="4">
        <v>85.35</v>
      </c>
      <c r="I192" s="4">
        <v>132.6</v>
      </c>
      <c r="J192" s="4">
        <v>31</v>
      </c>
      <c r="K192" s="4">
        <v>0</v>
      </c>
      <c r="L192" s="4">
        <v>0</v>
      </c>
      <c r="M192" s="4">
        <v>25</v>
      </c>
      <c r="N192" s="4">
        <v>28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71</v>
      </c>
      <c r="Z192" s="4">
        <v>18</v>
      </c>
      <c r="AA192" s="4">
        <v>0</v>
      </c>
      <c r="AB192" s="4">
        <v>0</v>
      </c>
      <c r="AC192" s="4">
        <v>25</v>
      </c>
      <c r="AD192" s="4">
        <v>28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10">
        <f t="shared" si="8"/>
        <v>132.6</v>
      </c>
      <c r="AP192" s="10">
        <f t="shared" si="9"/>
        <v>84</v>
      </c>
      <c r="AQ192" s="1">
        <f t="shared" si="10"/>
        <v>216.6</v>
      </c>
      <c r="AR192" s="1">
        <f t="shared" si="11"/>
        <v>-2.25</v>
      </c>
    </row>
    <row r="193" spans="1:44" x14ac:dyDescent="0.2">
      <c r="A193" s="3">
        <v>186</v>
      </c>
      <c r="B193" s="8" t="s">
        <v>226</v>
      </c>
      <c r="C193" s="3" t="s">
        <v>32</v>
      </c>
      <c r="D193" s="3">
        <v>0.6</v>
      </c>
      <c r="E193" s="3" t="s">
        <v>224</v>
      </c>
      <c r="F193" s="4">
        <v>875.4</v>
      </c>
      <c r="G193" s="4">
        <v>534</v>
      </c>
      <c r="H193" s="4">
        <v>341.4</v>
      </c>
      <c r="I193" s="4">
        <v>532.5</v>
      </c>
      <c r="J193" s="4">
        <v>104</v>
      </c>
      <c r="K193" s="4">
        <v>124</v>
      </c>
      <c r="L193" s="4">
        <v>0</v>
      </c>
      <c r="M193" s="4">
        <v>0</v>
      </c>
      <c r="N193" s="4">
        <v>129.91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289.91000000000003</v>
      </c>
      <c r="Z193" s="4">
        <v>36</v>
      </c>
      <c r="AA193" s="4">
        <v>124</v>
      </c>
      <c r="AB193" s="4">
        <v>0</v>
      </c>
      <c r="AC193" s="4">
        <v>0</v>
      </c>
      <c r="AD193" s="4">
        <v>129.91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10">
        <f t="shared" si="8"/>
        <v>532.5</v>
      </c>
      <c r="AP193" s="10">
        <f t="shared" si="9"/>
        <v>357.90999999999997</v>
      </c>
      <c r="AQ193" s="1">
        <f t="shared" si="10"/>
        <v>890.41</v>
      </c>
      <c r="AR193" s="1">
        <f t="shared" si="11"/>
        <v>15.009999999999991</v>
      </c>
    </row>
    <row r="194" spans="1:44" x14ac:dyDescent="0.2">
      <c r="A194" s="3">
        <v>187</v>
      </c>
      <c r="B194" s="8" t="s">
        <v>227</v>
      </c>
      <c r="C194" s="3" t="s">
        <v>27</v>
      </c>
      <c r="D194" s="3">
        <v>1</v>
      </c>
      <c r="E194" s="3" t="s">
        <v>224</v>
      </c>
      <c r="F194" s="4">
        <v>1459</v>
      </c>
      <c r="G194" s="4">
        <v>890</v>
      </c>
      <c r="H194" s="4">
        <v>569</v>
      </c>
      <c r="I194" s="4">
        <v>26</v>
      </c>
      <c r="J194" s="4">
        <v>6</v>
      </c>
      <c r="K194" s="4">
        <v>0</v>
      </c>
      <c r="L194" s="4">
        <v>0</v>
      </c>
      <c r="M194" s="4">
        <v>0</v>
      </c>
      <c r="N194" s="4">
        <v>28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10">
        <f t="shared" si="8"/>
        <v>26</v>
      </c>
      <c r="AP194" s="10">
        <f t="shared" si="9"/>
        <v>34</v>
      </c>
      <c r="AQ194" s="1">
        <f t="shared" si="10"/>
        <v>60</v>
      </c>
      <c r="AR194" s="1">
        <f t="shared" si="11"/>
        <v>-1399</v>
      </c>
    </row>
    <row r="195" spans="1:44" x14ac:dyDescent="0.2">
      <c r="A195" s="3">
        <v>188</v>
      </c>
      <c r="B195" s="8" t="s">
        <v>228</v>
      </c>
      <c r="C195" s="3" t="s">
        <v>27</v>
      </c>
      <c r="D195" s="3">
        <v>1</v>
      </c>
      <c r="E195" s="3" t="s">
        <v>224</v>
      </c>
      <c r="F195" s="4">
        <v>1459</v>
      </c>
      <c r="G195" s="4">
        <v>890</v>
      </c>
      <c r="H195" s="4">
        <v>569</v>
      </c>
      <c r="I195" s="4">
        <v>889.37</v>
      </c>
      <c r="J195" s="4">
        <v>191</v>
      </c>
      <c r="K195" s="4">
        <v>114</v>
      </c>
      <c r="L195" s="4">
        <v>0</v>
      </c>
      <c r="M195" s="4">
        <v>150</v>
      </c>
      <c r="N195" s="4">
        <v>58.13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390.13</v>
      </c>
      <c r="Z195" s="4">
        <v>68</v>
      </c>
      <c r="AA195" s="4">
        <v>114</v>
      </c>
      <c r="AB195" s="4">
        <v>0</v>
      </c>
      <c r="AC195" s="4">
        <v>150</v>
      </c>
      <c r="AD195" s="4">
        <v>58.13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10">
        <f t="shared" si="8"/>
        <v>889.37</v>
      </c>
      <c r="AP195" s="10">
        <f t="shared" si="9"/>
        <v>513.13</v>
      </c>
      <c r="AQ195" s="1">
        <f t="shared" si="10"/>
        <v>1402.5</v>
      </c>
      <c r="AR195" s="1">
        <f t="shared" si="11"/>
        <v>-56.5</v>
      </c>
    </row>
    <row r="196" spans="1:44" x14ac:dyDescent="0.2">
      <c r="A196" s="3">
        <v>189</v>
      </c>
      <c r="B196" s="8" t="s">
        <v>229</v>
      </c>
      <c r="C196" s="3" t="s">
        <v>27</v>
      </c>
      <c r="D196" s="3">
        <v>0.25</v>
      </c>
      <c r="E196" s="3" t="s">
        <v>224</v>
      </c>
      <c r="F196" s="4">
        <v>364.75</v>
      </c>
      <c r="G196" s="4">
        <v>222.5</v>
      </c>
      <c r="H196" s="4">
        <v>142.25</v>
      </c>
      <c r="I196" s="4">
        <v>222.5</v>
      </c>
      <c r="J196" s="4">
        <v>58.5</v>
      </c>
      <c r="K196" s="4">
        <v>16</v>
      </c>
      <c r="L196" s="4">
        <v>0</v>
      </c>
      <c r="M196" s="4">
        <v>50</v>
      </c>
      <c r="N196" s="4">
        <v>17.75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125.75</v>
      </c>
      <c r="Z196" s="4">
        <v>42</v>
      </c>
      <c r="AA196" s="4">
        <v>16</v>
      </c>
      <c r="AB196" s="4">
        <v>0</v>
      </c>
      <c r="AC196" s="4">
        <v>50</v>
      </c>
      <c r="AD196" s="4">
        <v>17.75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10">
        <f t="shared" si="8"/>
        <v>222.5</v>
      </c>
      <c r="AP196" s="10">
        <f t="shared" si="9"/>
        <v>142.25</v>
      </c>
      <c r="AQ196" s="1">
        <f t="shared" si="10"/>
        <v>364.75</v>
      </c>
      <c r="AR196" s="1">
        <f t="shared" si="11"/>
        <v>0</v>
      </c>
    </row>
    <row r="197" spans="1:44" x14ac:dyDescent="0.2">
      <c r="A197" s="3">
        <v>190</v>
      </c>
      <c r="B197" s="8" t="s">
        <v>230</v>
      </c>
      <c r="C197" s="3" t="s">
        <v>48</v>
      </c>
      <c r="D197" s="3">
        <v>0.5</v>
      </c>
      <c r="E197" s="3" t="s">
        <v>224</v>
      </c>
      <c r="F197" s="4">
        <v>729.5</v>
      </c>
      <c r="G197" s="4">
        <v>445</v>
      </c>
      <c r="H197" s="4">
        <v>284.5</v>
      </c>
      <c r="I197" s="4">
        <v>445</v>
      </c>
      <c r="J197" s="4">
        <v>12.5</v>
      </c>
      <c r="K197" s="4">
        <v>12</v>
      </c>
      <c r="L197" s="4">
        <v>0</v>
      </c>
      <c r="M197" s="4">
        <v>250</v>
      </c>
      <c r="N197" s="4">
        <v>18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272</v>
      </c>
      <c r="Z197" s="4">
        <v>0</v>
      </c>
      <c r="AA197" s="4">
        <v>12</v>
      </c>
      <c r="AB197" s="4">
        <v>0</v>
      </c>
      <c r="AC197" s="4">
        <v>250</v>
      </c>
      <c r="AD197" s="4">
        <v>10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10">
        <f t="shared" si="8"/>
        <v>445</v>
      </c>
      <c r="AP197" s="10">
        <f t="shared" si="9"/>
        <v>292.5</v>
      </c>
      <c r="AQ197" s="1">
        <f t="shared" si="10"/>
        <v>737.5</v>
      </c>
      <c r="AR197" s="1">
        <f t="shared" si="11"/>
        <v>8</v>
      </c>
    </row>
    <row r="198" spans="1:44" x14ac:dyDescent="0.2">
      <c r="A198" s="3">
        <v>191</v>
      </c>
      <c r="B198" s="8" t="s">
        <v>231</v>
      </c>
      <c r="C198" s="3" t="s">
        <v>27</v>
      </c>
      <c r="D198" s="3">
        <v>1</v>
      </c>
      <c r="E198" s="3" t="s">
        <v>224</v>
      </c>
      <c r="F198" s="4">
        <v>1459</v>
      </c>
      <c r="G198" s="4">
        <v>890</v>
      </c>
      <c r="H198" s="4">
        <v>569</v>
      </c>
      <c r="I198" s="4">
        <v>890</v>
      </c>
      <c r="J198" s="4">
        <v>115.5</v>
      </c>
      <c r="K198" s="4">
        <v>34</v>
      </c>
      <c r="L198" s="4">
        <v>0</v>
      </c>
      <c r="M198" s="4">
        <v>120</v>
      </c>
      <c r="N198" s="4">
        <v>320.5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554.5</v>
      </c>
      <c r="Z198" s="4">
        <v>80</v>
      </c>
      <c r="AA198" s="4">
        <v>34</v>
      </c>
      <c r="AB198" s="4">
        <v>0</v>
      </c>
      <c r="AC198" s="4">
        <v>120</v>
      </c>
      <c r="AD198" s="4">
        <v>320.5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10">
        <f t="shared" si="8"/>
        <v>890</v>
      </c>
      <c r="AP198" s="10">
        <f t="shared" si="9"/>
        <v>590</v>
      </c>
      <c r="AQ198" s="1">
        <f t="shared" si="10"/>
        <v>1480</v>
      </c>
      <c r="AR198" s="1">
        <f t="shared" si="11"/>
        <v>21</v>
      </c>
    </row>
    <row r="199" spans="1:44" x14ac:dyDescent="0.2">
      <c r="A199" s="3">
        <v>192</v>
      </c>
      <c r="B199" s="8" t="s">
        <v>232</v>
      </c>
      <c r="C199" s="3" t="s">
        <v>27</v>
      </c>
      <c r="D199" s="3">
        <v>1</v>
      </c>
      <c r="E199" s="3" t="s">
        <v>224</v>
      </c>
      <c r="F199" s="4">
        <v>1459</v>
      </c>
      <c r="G199" s="4">
        <v>890</v>
      </c>
      <c r="H199" s="4">
        <v>569</v>
      </c>
      <c r="I199" s="4">
        <v>888.5</v>
      </c>
      <c r="J199" s="4">
        <v>196.5</v>
      </c>
      <c r="K199" s="4">
        <v>141</v>
      </c>
      <c r="L199" s="4">
        <v>0</v>
      </c>
      <c r="M199" s="4">
        <v>100</v>
      </c>
      <c r="N199" s="4">
        <v>123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400</v>
      </c>
      <c r="Z199" s="4">
        <v>36</v>
      </c>
      <c r="AA199" s="4">
        <v>141</v>
      </c>
      <c r="AB199" s="4">
        <v>0</v>
      </c>
      <c r="AC199" s="4">
        <v>100</v>
      </c>
      <c r="AD199" s="4">
        <v>123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10">
        <f t="shared" si="8"/>
        <v>888.5</v>
      </c>
      <c r="AP199" s="10">
        <f t="shared" si="9"/>
        <v>560.5</v>
      </c>
      <c r="AQ199" s="1">
        <f t="shared" si="10"/>
        <v>1449</v>
      </c>
      <c r="AR199" s="1">
        <f t="shared" si="11"/>
        <v>-10</v>
      </c>
    </row>
    <row r="200" spans="1:44" x14ac:dyDescent="0.2">
      <c r="A200" s="3">
        <v>193</v>
      </c>
      <c r="B200" s="8" t="s">
        <v>233</v>
      </c>
      <c r="C200" s="3" t="s">
        <v>27</v>
      </c>
      <c r="D200" s="3">
        <v>0.15</v>
      </c>
      <c r="E200" s="3" t="s">
        <v>224</v>
      </c>
      <c r="F200" s="4">
        <v>218.85</v>
      </c>
      <c r="G200" s="4">
        <v>133.5</v>
      </c>
      <c r="H200" s="4">
        <v>85.35</v>
      </c>
      <c r="I200" s="4">
        <v>133</v>
      </c>
      <c r="J200" s="4">
        <v>32.799999999999997</v>
      </c>
      <c r="K200" s="4">
        <v>0</v>
      </c>
      <c r="L200" s="4">
        <v>0</v>
      </c>
      <c r="M200" s="4">
        <v>45.05</v>
      </c>
      <c r="N200" s="4">
        <v>28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59.05</v>
      </c>
      <c r="Z200" s="4">
        <v>6</v>
      </c>
      <c r="AA200" s="4">
        <v>0</v>
      </c>
      <c r="AB200" s="4">
        <v>0</v>
      </c>
      <c r="AC200" s="4">
        <v>45.05</v>
      </c>
      <c r="AD200" s="4">
        <v>8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10">
        <f t="shared" si="8"/>
        <v>133</v>
      </c>
      <c r="AP200" s="10">
        <f t="shared" si="9"/>
        <v>105.85</v>
      </c>
      <c r="AQ200" s="1">
        <f t="shared" si="10"/>
        <v>238.85</v>
      </c>
      <c r="AR200" s="1">
        <f t="shared" si="11"/>
        <v>20</v>
      </c>
    </row>
    <row r="201" spans="1:44" x14ac:dyDescent="0.2">
      <c r="A201" s="3">
        <v>194</v>
      </c>
      <c r="B201" s="8" t="s">
        <v>234</v>
      </c>
      <c r="C201" s="3" t="s">
        <v>36</v>
      </c>
      <c r="D201" s="3">
        <v>0.2</v>
      </c>
      <c r="E201" s="3" t="s">
        <v>224</v>
      </c>
      <c r="F201" s="4">
        <v>291.8</v>
      </c>
      <c r="G201" s="4">
        <v>178</v>
      </c>
      <c r="H201" s="4">
        <v>113.8</v>
      </c>
      <c r="I201" s="4">
        <v>177.04</v>
      </c>
      <c r="J201" s="4">
        <v>42.3</v>
      </c>
      <c r="K201" s="4">
        <v>0</v>
      </c>
      <c r="L201" s="4">
        <v>0</v>
      </c>
      <c r="M201" s="4">
        <v>25</v>
      </c>
      <c r="N201" s="4">
        <v>56.5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81.5</v>
      </c>
      <c r="Z201" s="4">
        <v>0</v>
      </c>
      <c r="AA201" s="4">
        <v>0</v>
      </c>
      <c r="AB201" s="4">
        <v>0</v>
      </c>
      <c r="AC201" s="4">
        <v>25</v>
      </c>
      <c r="AD201" s="4">
        <v>56.5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10">
        <f t="shared" si="8"/>
        <v>177.04</v>
      </c>
      <c r="AP201" s="10">
        <f t="shared" si="9"/>
        <v>123.8</v>
      </c>
      <c r="AQ201" s="1">
        <f t="shared" si="10"/>
        <v>300.83999999999997</v>
      </c>
      <c r="AR201" s="1">
        <f t="shared" si="11"/>
        <v>9.0399999999999636</v>
      </c>
    </row>
    <row r="202" spans="1:44" x14ac:dyDescent="0.2">
      <c r="A202" s="3">
        <v>195</v>
      </c>
      <c r="B202" s="8" t="s">
        <v>235</v>
      </c>
      <c r="C202" s="3" t="s">
        <v>27</v>
      </c>
      <c r="D202" s="3">
        <v>1</v>
      </c>
      <c r="E202" s="3" t="s">
        <v>224</v>
      </c>
      <c r="F202" s="4">
        <v>1459</v>
      </c>
      <c r="G202" s="4">
        <v>890</v>
      </c>
      <c r="H202" s="4">
        <v>569</v>
      </c>
      <c r="I202" s="4">
        <v>889.5</v>
      </c>
      <c r="J202" s="4">
        <v>204</v>
      </c>
      <c r="K202" s="4">
        <v>34</v>
      </c>
      <c r="L202" s="4">
        <v>0</v>
      </c>
      <c r="M202" s="4">
        <v>100</v>
      </c>
      <c r="N202" s="4">
        <v>193.52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399.52</v>
      </c>
      <c r="Z202" s="4">
        <v>72</v>
      </c>
      <c r="AA202" s="4">
        <v>34</v>
      </c>
      <c r="AB202" s="4">
        <v>0</v>
      </c>
      <c r="AC202" s="4">
        <v>100</v>
      </c>
      <c r="AD202" s="4">
        <v>193.52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10">
        <f t="shared" ref="AO202:AO265" si="12">I202</f>
        <v>889.5</v>
      </c>
      <c r="AP202" s="10">
        <f t="shared" ref="AP202:AP265" si="13">SUM(J202:P202)</f>
        <v>531.52</v>
      </c>
      <c r="AQ202" s="1">
        <f t="shared" ref="AQ202:AQ265" si="14">AO202+AP202</f>
        <v>1421.02</v>
      </c>
      <c r="AR202" s="1">
        <f t="shared" ref="AR202:AR265" si="15">AQ202-F202</f>
        <v>-37.980000000000018</v>
      </c>
    </row>
    <row r="203" spans="1:44" x14ac:dyDescent="0.2">
      <c r="A203" s="3">
        <v>196</v>
      </c>
      <c r="B203" s="8" t="s">
        <v>236</v>
      </c>
      <c r="C203" s="3" t="s">
        <v>32</v>
      </c>
      <c r="D203" s="3">
        <v>0.35</v>
      </c>
      <c r="E203" s="3" t="s">
        <v>224</v>
      </c>
      <c r="F203" s="4">
        <v>510.65</v>
      </c>
      <c r="G203" s="4">
        <v>311.5</v>
      </c>
      <c r="H203" s="4">
        <v>199.15</v>
      </c>
      <c r="I203" s="4">
        <v>311.06</v>
      </c>
      <c r="J203" s="4">
        <v>72</v>
      </c>
      <c r="K203" s="4">
        <v>26</v>
      </c>
      <c r="L203" s="4">
        <v>0</v>
      </c>
      <c r="M203" s="4">
        <v>50</v>
      </c>
      <c r="N203" s="4">
        <v>55.68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153.68</v>
      </c>
      <c r="Z203" s="4">
        <v>22</v>
      </c>
      <c r="AA203" s="4">
        <v>26</v>
      </c>
      <c r="AB203" s="4">
        <v>0</v>
      </c>
      <c r="AC203" s="4">
        <v>50</v>
      </c>
      <c r="AD203" s="4">
        <v>55.68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10">
        <f t="shared" si="12"/>
        <v>311.06</v>
      </c>
      <c r="AP203" s="10">
        <f t="shared" si="13"/>
        <v>203.68</v>
      </c>
      <c r="AQ203" s="1">
        <f t="shared" si="14"/>
        <v>514.74</v>
      </c>
      <c r="AR203" s="1">
        <f t="shared" si="15"/>
        <v>4.0900000000000318</v>
      </c>
    </row>
    <row r="204" spans="1:44" x14ac:dyDescent="0.2">
      <c r="A204" s="3">
        <v>197</v>
      </c>
      <c r="B204" s="8" t="s">
        <v>237</v>
      </c>
      <c r="C204" s="3" t="s">
        <v>27</v>
      </c>
      <c r="D204" s="3">
        <v>1</v>
      </c>
      <c r="E204" s="3" t="s">
        <v>224</v>
      </c>
      <c r="F204" s="4">
        <v>1459</v>
      </c>
      <c r="G204" s="4">
        <v>890</v>
      </c>
      <c r="H204" s="4">
        <v>569</v>
      </c>
      <c r="I204" s="4">
        <v>887</v>
      </c>
      <c r="J204" s="4">
        <v>186.5</v>
      </c>
      <c r="K204" s="4">
        <v>153</v>
      </c>
      <c r="L204" s="4">
        <v>0</v>
      </c>
      <c r="M204" s="4">
        <v>100</v>
      </c>
      <c r="N204" s="4">
        <v>118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433</v>
      </c>
      <c r="Z204" s="4">
        <v>62</v>
      </c>
      <c r="AA204" s="4">
        <v>153</v>
      </c>
      <c r="AB204" s="4">
        <v>0</v>
      </c>
      <c r="AC204" s="4">
        <v>100</v>
      </c>
      <c r="AD204" s="4">
        <v>118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10">
        <f t="shared" si="12"/>
        <v>887</v>
      </c>
      <c r="AP204" s="10">
        <f t="shared" si="13"/>
        <v>557.5</v>
      </c>
      <c r="AQ204" s="1">
        <f t="shared" si="14"/>
        <v>1444.5</v>
      </c>
      <c r="AR204" s="1">
        <f t="shared" si="15"/>
        <v>-14.5</v>
      </c>
    </row>
    <row r="205" spans="1:44" x14ac:dyDescent="0.2">
      <c r="A205" s="3">
        <v>198</v>
      </c>
      <c r="B205" s="8" t="s">
        <v>238</v>
      </c>
      <c r="C205" s="3" t="s">
        <v>36</v>
      </c>
      <c r="D205" s="3">
        <v>0.25</v>
      </c>
      <c r="E205" s="3" t="s">
        <v>224</v>
      </c>
      <c r="F205" s="4">
        <v>364.75</v>
      </c>
      <c r="G205" s="4">
        <v>222.5</v>
      </c>
      <c r="H205" s="4">
        <v>142.25</v>
      </c>
      <c r="I205" s="4">
        <v>193.5</v>
      </c>
      <c r="J205" s="4">
        <v>29.5</v>
      </c>
      <c r="K205" s="4">
        <v>0</v>
      </c>
      <c r="L205" s="4">
        <v>0</v>
      </c>
      <c r="M205" s="4">
        <v>50</v>
      </c>
      <c r="N205" s="4">
        <v>91.75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141.75</v>
      </c>
      <c r="Z205" s="4">
        <v>0</v>
      </c>
      <c r="AA205" s="4">
        <v>0</v>
      </c>
      <c r="AB205" s="4">
        <v>0</v>
      </c>
      <c r="AC205" s="4">
        <v>50</v>
      </c>
      <c r="AD205" s="4">
        <v>91.75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10">
        <f t="shared" si="12"/>
        <v>193.5</v>
      </c>
      <c r="AP205" s="10">
        <f t="shared" si="13"/>
        <v>171.25</v>
      </c>
      <c r="AQ205" s="1">
        <f t="shared" si="14"/>
        <v>364.75</v>
      </c>
      <c r="AR205" s="1">
        <f t="shared" si="15"/>
        <v>0</v>
      </c>
    </row>
    <row r="206" spans="1:44" x14ac:dyDescent="0.2">
      <c r="A206" s="3">
        <v>199</v>
      </c>
      <c r="B206" s="8" t="s">
        <v>239</v>
      </c>
      <c r="C206" s="3" t="s">
        <v>36</v>
      </c>
      <c r="D206" s="3">
        <v>0.2</v>
      </c>
      <c r="E206" s="3" t="s">
        <v>224</v>
      </c>
      <c r="F206" s="4">
        <v>291.8</v>
      </c>
      <c r="G206" s="4">
        <v>178</v>
      </c>
      <c r="H206" s="4">
        <v>113.8</v>
      </c>
      <c r="I206" s="4">
        <v>178</v>
      </c>
      <c r="J206" s="4">
        <v>39.5</v>
      </c>
      <c r="K206" s="4">
        <v>0</v>
      </c>
      <c r="L206" s="4">
        <v>0</v>
      </c>
      <c r="M206" s="4">
        <v>25</v>
      </c>
      <c r="N206" s="4">
        <v>60.6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77.599999999999994</v>
      </c>
      <c r="Z206" s="4">
        <v>0</v>
      </c>
      <c r="AA206" s="4">
        <v>0</v>
      </c>
      <c r="AB206" s="4">
        <v>0</v>
      </c>
      <c r="AC206" s="4">
        <v>25</v>
      </c>
      <c r="AD206" s="4">
        <v>52.6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10">
        <f t="shared" si="12"/>
        <v>178</v>
      </c>
      <c r="AP206" s="10">
        <f t="shared" si="13"/>
        <v>125.1</v>
      </c>
      <c r="AQ206" s="1">
        <f t="shared" si="14"/>
        <v>303.10000000000002</v>
      </c>
      <c r="AR206" s="1">
        <f t="shared" si="15"/>
        <v>11.300000000000011</v>
      </c>
    </row>
    <row r="207" spans="1:44" x14ac:dyDescent="0.2">
      <c r="A207" s="3">
        <v>200</v>
      </c>
      <c r="B207" s="8" t="s">
        <v>240</v>
      </c>
      <c r="C207" s="3" t="s">
        <v>24</v>
      </c>
      <c r="D207" s="3">
        <v>1</v>
      </c>
      <c r="E207" s="3" t="s">
        <v>224</v>
      </c>
      <c r="F207" s="4">
        <v>1459</v>
      </c>
      <c r="G207" s="4">
        <v>890</v>
      </c>
      <c r="H207" s="4">
        <v>569</v>
      </c>
      <c r="I207" s="4">
        <v>889.67</v>
      </c>
      <c r="J207" s="4">
        <v>178</v>
      </c>
      <c r="K207" s="4">
        <v>101</v>
      </c>
      <c r="L207" s="4">
        <v>0</v>
      </c>
      <c r="M207" s="4">
        <v>175</v>
      </c>
      <c r="N207" s="4">
        <v>152.66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475.66</v>
      </c>
      <c r="Z207" s="4">
        <v>87</v>
      </c>
      <c r="AA207" s="4">
        <v>101</v>
      </c>
      <c r="AB207" s="4">
        <v>0</v>
      </c>
      <c r="AC207" s="4">
        <v>175</v>
      </c>
      <c r="AD207" s="4">
        <v>112.66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10">
        <f t="shared" si="12"/>
        <v>889.67</v>
      </c>
      <c r="AP207" s="10">
        <f t="shared" si="13"/>
        <v>606.66</v>
      </c>
      <c r="AQ207" s="1">
        <f t="shared" si="14"/>
        <v>1496.33</v>
      </c>
      <c r="AR207" s="1">
        <f t="shared" si="15"/>
        <v>37.329999999999927</v>
      </c>
    </row>
    <row r="208" spans="1:44" x14ac:dyDescent="0.2">
      <c r="A208" s="3">
        <v>201</v>
      </c>
      <c r="B208" s="3" t="s">
        <v>241</v>
      </c>
      <c r="C208" s="3" t="s">
        <v>27</v>
      </c>
      <c r="D208" s="3">
        <v>0.5</v>
      </c>
      <c r="E208" s="3" t="s">
        <v>242</v>
      </c>
      <c r="F208" s="4">
        <v>729.5</v>
      </c>
      <c r="G208" s="4">
        <v>445</v>
      </c>
      <c r="H208" s="4">
        <v>284.5</v>
      </c>
      <c r="I208" s="4">
        <v>429</v>
      </c>
      <c r="J208" s="4">
        <v>205.75</v>
      </c>
      <c r="K208" s="4">
        <v>24</v>
      </c>
      <c r="L208" s="4">
        <v>0</v>
      </c>
      <c r="M208" s="4">
        <v>53.6</v>
      </c>
      <c r="N208" s="4">
        <v>28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217.35</v>
      </c>
      <c r="Z208" s="4">
        <v>111.75</v>
      </c>
      <c r="AA208" s="4">
        <v>24</v>
      </c>
      <c r="AB208" s="4">
        <v>0</v>
      </c>
      <c r="AC208" s="4">
        <v>53.6</v>
      </c>
      <c r="AD208" s="4">
        <v>28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10">
        <f t="shared" si="12"/>
        <v>429</v>
      </c>
      <c r="AP208" s="10">
        <f t="shared" si="13"/>
        <v>311.35000000000002</v>
      </c>
      <c r="AQ208" s="1">
        <f t="shared" si="14"/>
        <v>740.35</v>
      </c>
      <c r="AR208" s="1">
        <f t="shared" si="15"/>
        <v>10.850000000000023</v>
      </c>
    </row>
    <row r="209" spans="1:44" x14ac:dyDescent="0.2">
      <c r="A209" s="3">
        <v>202</v>
      </c>
      <c r="B209" s="3" t="s">
        <v>243</v>
      </c>
      <c r="C209" s="3" t="s">
        <v>27</v>
      </c>
      <c r="D209" s="3">
        <v>1</v>
      </c>
      <c r="E209" s="3" t="s">
        <v>242</v>
      </c>
      <c r="F209" s="4">
        <v>1459</v>
      </c>
      <c r="G209" s="4">
        <v>890</v>
      </c>
      <c r="H209" s="4">
        <v>569</v>
      </c>
      <c r="I209" s="4">
        <v>779.7</v>
      </c>
      <c r="J209" s="4">
        <v>266.02999999999997</v>
      </c>
      <c r="K209" s="4">
        <v>34</v>
      </c>
      <c r="L209" s="4">
        <v>0</v>
      </c>
      <c r="M209" s="4">
        <v>90</v>
      </c>
      <c r="N209" s="4">
        <v>99.2</v>
      </c>
      <c r="O209" s="4">
        <v>202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536.73</v>
      </c>
      <c r="Z209" s="4">
        <v>111.53</v>
      </c>
      <c r="AA209" s="4">
        <v>34</v>
      </c>
      <c r="AB209" s="4">
        <v>0</v>
      </c>
      <c r="AC209" s="4">
        <v>90</v>
      </c>
      <c r="AD209" s="4">
        <v>99.2</v>
      </c>
      <c r="AE209" s="4">
        <v>202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10">
        <f t="shared" si="12"/>
        <v>779.7</v>
      </c>
      <c r="AP209" s="10">
        <f t="shared" si="13"/>
        <v>691.23</v>
      </c>
      <c r="AQ209" s="1">
        <f t="shared" si="14"/>
        <v>1470.93</v>
      </c>
      <c r="AR209" s="1">
        <f t="shared" si="15"/>
        <v>11.930000000000064</v>
      </c>
    </row>
    <row r="210" spans="1:44" x14ac:dyDescent="0.2">
      <c r="A210" s="3">
        <v>203</v>
      </c>
      <c r="B210" s="3" t="s">
        <v>244</v>
      </c>
      <c r="C210" s="3" t="s">
        <v>27</v>
      </c>
      <c r="D210" s="3">
        <v>0.5</v>
      </c>
      <c r="E210" s="3" t="s">
        <v>242</v>
      </c>
      <c r="F210" s="4">
        <v>729.5</v>
      </c>
      <c r="G210" s="4">
        <v>445</v>
      </c>
      <c r="H210" s="4">
        <v>284.5</v>
      </c>
      <c r="I210" s="4">
        <v>436</v>
      </c>
      <c r="J210" s="4">
        <v>164.5</v>
      </c>
      <c r="K210" s="4">
        <v>0</v>
      </c>
      <c r="L210" s="4">
        <v>0</v>
      </c>
      <c r="M210" s="4">
        <v>0</v>
      </c>
      <c r="N210" s="4">
        <v>78.8</v>
      </c>
      <c r="O210" s="4">
        <v>50.4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194.7</v>
      </c>
      <c r="Z210" s="4">
        <v>65.5</v>
      </c>
      <c r="AA210" s="4">
        <v>0</v>
      </c>
      <c r="AB210" s="4">
        <v>0</v>
      </c>
      <c r="AC210" s="4">
        <v>0</v>
      </c>
      <c r="AD210" s="4">
        <v>78.8</v>
      </c>
      <c r="AE210" s="4">
        <v>50.4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10">
        <f t="shared" si="12"/>
        <v>436</v>
      </c>
      <c r="AP210" s="10">
        <f t="shared" si="13"/>
        <v>293.7</v>
      </c>
      <c r="AQ210" s="1">
        <f t="shared" si="14"/>
        <v>729.7</v>
      </c>
      <c r="AR210" s="1">
        <f t="shared" si="15"/>
        <v>0.20000000000004547</v>
      </c>
    </row>
    <row r="211" spans="1:44" x14ac:dyDescent="0.2">
      <c r="A211" s="3">
        <v>204</v>
      </c>
      <c r="B211" s="3" t="s">
        <v>245</v>
      </c>
      <c r="C211" s="3" t="s">
        <v>27</v>
      </c>
      <c r="D211" s="3">
        <v>0.75</v>
      </c>
      <c r="E211" s="3" t="s">
        <v>242</v>
      </c>
      <c r="F211" s="4">
        <v>1094.25</v>
      </c>
      <c r="G211" s="4">
        <v>667.5</v>
      </c>
      <c r="H211" s="4">
        <v>426.75</v>
      </c>
      <c r="I211" s="4">
        <v>470</v>
      </c>
      <c r="J211" s="4">
        <v>179.85</v>
      </c>
      <c r="K211" s="4">
        <v>64</v>
      </c>
      <c r="L211" s="4">
        <v>290.39999999999998</v>
      </c>
      <c r="M211" s="4">
        <v>0</v>
      </c>
      <c r="N211" s="4">
        <v>28</v>
      </c>
      <c r="O211" s="4">
        <v>72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528.25</v>
      </c>
      <c r="Z211" s="4">
        <v>73.849999999999994</v>
      </c>
      <c r="AA211" s="4">
        <v>64</v>
      </c>
      <c r="AB211" s="4">
        <v>290.39999999999998</v>
      </c>
      <c r="AC211" s="4">
        <v>0</v>
      </c>
      <c r="AD211" s="4">
        <v>28</v>
      </c>
      <c r="AE211" s="4">
        <v>72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10">
        <f t="shared" si="12"/>
        <v>470</v>
      </c>
      <c r="AP211" s="10">
        <f t="shared" si="13"/>
        <v>634.25</v>
      </c>
      <c r="AQ211" s="1">
        <f t="shared" si="14"/>
        <v>1104.25</v>
      </c>
      <c r="AR211" s="1">
        <f t="shared" si="15"/>
        <v>10</v>
      </c>
    </row>
    <row r="212" spans="1:44" x14ac:dyDescent="0.2">
      <c r="A212" s="3">
        <v>205</v>
      </c>
      <c r="B212" s="3" t="s">
        <v>246</v>
      </c>
      <c r="C212" s="3" t="s">
        <v>27</v>
      </c>
      <c r="D212" s="3">
        <v>1</v>
      </c>
      <c r="E212" s="3" t="s">
        <v>242</v>
      </c>
      <c r="F212" s="4">
        <v>1459</v>
      </c>
      <c r="G212" s="4">
        <v>890</v>
      </c>
      <c r="H212" s="4">
        <v>569</v>
      </c>
      <c r="I212" s="4">
        <v>851</v>
      </c>
      <c r="J212" s="4">
        <v>254.88</v>
      </c>
      <c r="K212" s="4">
        <v>48</v>
      </c>
      <c r="L212" s="4">
        <v>0</v>
      </c>
      <c r="M212" s="4">
        <v>178</v>
      </c>
      <c r="N212" s="4">
        <v>28</v>
      </c>
      <c r="O212" s="4">
        <v>231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557.58000000000004</v>
      </c>
      <c r="Z212" s="4">
        <v>72.58</v>
      </c>
      <c r="AA212" s="4">
        <v>48</v>
      </c>
      <c r="AB212" s="4">
        <v>0</v>
      </c>
      <c r="AC212" s="4">
        <v>178</v>
      </c>
      <c r="AD212" s="4">
        <v>28</v>
      </c>
      <c r="AE212" s="4">
        <v>231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10">
        <f t="shared" si="12"/>
        <v>851</v>
      </c>
      <c r="AP212" s="10">
        <f t="shared" si="13"/>
        <v>739.88</v>
      </c>
      <c r="AQ212" s="1">
        <f t="shared" si="14"/>
        <v>1590.88</v>
      </c>
      <c r="AR212" s="1">
        <f t="shared" si="15"/>
        <v>131.88000000000011</v>
      </c>
    </row>
    <row r="213" spans="1:44" x14ac:dyDescent="0.2">
      <c r="A213" s="3">
        <v>206</v>
      </c>
      <c r="B213" s="3" t="s">
        <v>247</v>
      </c>
      <c r="C213" s="3" t="s">
        <v>27</v>
      </c>
      <c r="D213" s="3">
        <v>1</v>
      </c>
      <c r="E213" s="3" t="s">
        <v>242</v>
      </c>
      <c r="F213" s="4">
        <v>1459</v>
      </c>
      <c r="G213" s="4">
        <v>890</v>
      </c>
      <c r="H213" s="4">
        <v>569</v>
      </c>
      <c r="I213" s="4">
        <v>806.42</v>
      </c>
      <c r="J213" s="4">
        <v>275.89999999999998</v>
      </c>
      <c r="K213" s="4">
        <v>97</v>
      </c>
      <c r="L213" s="4">
        <v>144</v>
      </c>
      <c r="M213" s="4">
        <v>22</v>
      </c>
      <c r="N213" s="4">
        <v>44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403</v>
      </c>
      <c r="Z213" s="4">
        <v>96</v>
      </c>
      <c r="AA213" s="4">
        <v>97</v>
      </c>
      <c r="AB213" s="4">
        <v>144</v>
      </c>
      <c r="AC213" s="4">
        <v>22</v>
      </c>
      <c r="AD213" s="4">
        <v>44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10">
        <f t="shared" si="12"/>
        <v>806.42</v>
      </c>
      <c r="AP213" s="10">
        <f t="shared" si="13"/>
        <v>582.9</v>
      </c>
      <c r="AQ213" s="1">
        <f t="shared" si="14"/>
        <v>1389.32</v>
      </c>
      <c r="AR213" s="1">
        <f t="shared" si="15"/>
        <v>-69.680000000000064</v>
      </c>
    </row>
    <row r="214" spans="1:44" x14ac:dyDescent="0.2">
      <c r="A214" s="3">
        <v>207</v>
      </c>
      <c r="B214" s="3" t="s">
        <v>248</v>
      </c>
      <c r="C214" s="3" t="s">
        <v>27</v>
      </c>
      <c r="D214" s="3">
        <v>0.5</v>
      </c>
      <c r="E214" s="3" t="s">
        <v>242</v>
      </c>
      <c r="F214" s="4">
        <v>729.5</v>
      </c>
      <c r="G214" s="4">
        <v>445</v>
      </c>
      <c r="H214" s="4">
        <v>284.5</v>
      </c>
      <c r="I214" s="4">
        <v>437</v>
      </c>
      <c r="J214" s="4">
        <v>197.83</v>
      </c>
      <c r="K214" s="4">
        <v>8</v>
      </c>
      <c r="L214" s="4">
        <v>0</v>
      </c>
      <c r="M214" s="4">
        <v>59.2</v>
      </c>
      <c r="N214" s="4">
        <v>28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191.95</v>
      </c>
      <c r="Z214" s="4">
        <v>96.75</v>
      </c>
      <c r="AA214" s="4">
        <v>8</v>
      </c>
      <c r="AB214" s="4">
        <v>0</v>
      </c>
      <c r="AC214" s="4">
        <v>59.2</v>
      </c>
      <c r="AD214" s="4">
        <v>28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10">
        <f t="shared" si="12"/>
        <v>437</v>
      </c>
      <c r="AP214" s="10">
        <f t="shared" si="13"/>
        <v>293.03000000000003</v>
      </c>
      <c r="AQ214" s="1">
        <f t="shared" si="14"/>
        <v>730.03</v>
      </c>
      <c r="AR214" s="1">
        <f t="shared" si="15"/>
        <v>0.52999999999997272</v>
      </c>
    </row>
    <row r="215" spans="1:44" x14ac:dyDescent="0.2">
      <c r="A215" s="3">
        <v>208</v>
      </c>
      <c r="B215" s="3" t="s">
        <v>249</v>
      </c>
      <c r="C215" s="3" t="s">
        <v>27</v>
      </c>
      <c r="D215" s="3">
        <v>1</v>
      </c>
      <c r="E215" s="3" t="s">
        <v>242</v>
      </c>
      <c r="F215" s="4">
        <v>1459</v>
      </c>
      <c r="G215" s="4">
        <v>890</v>
      </c>
      <c r="H215" s="4">
        <v>569</v>
      </c>
      <c r="I215" s="4">
        <v>862</v>
      </c>
      <c r="J215" s="4">
        <v>232.05</v>
      </c>
      <c r="K215" s="4">
        <v>64</v>
      </c>
      <c r="L215" s="4">
        <v>0</v>
      </c>
      <c r="M215" s="4">
        <v>25</v>
      </c>
      <c r="N215" s="4">
        <v>147</v>
      </c>
      <c r="O215" s="4">
        <v>144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421</v>
      </c>
      <c r="Z215" s="4">
        <v>41</v>
      </c>
      <c r="AA215" s="4">
        <v>64</v>
      </c>
      <c r="AB215" s="4">
        <v>0</v>
      </c>
      <c r="AC215" s="4">
        <v>25</v>
      </c>
      <c r="AD215" s="4">
        <v>147</v>
      </c>
      <c r="AE215" s="4">
        <v>144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10">
        <f t="shared" si="12"/>
        <v>862</v>
      </c>
      <c r="AP215" s="10">
        <f t="shared" si="13"/>
        <v>612.04999999999995</v>
      </c>
      <c r="AQ215" s="1">
        <f t="shared" si="14"/>
        <v>1474.05</v>
      </c>
      <c r="AR215" s="1">
        <f t="shared" si="15"/>
        <v>15.049999999999955</v>
      </c>
    </row>
    <row r="216" spans="1:44" x14ac:dyDescent="0.2">
      <c r="A216" s="3">
        <v>209</v>
      </c>
      <c r="B216" s="3" t="s">
        <v>250</v>
      </c>
      <c r="C216" s="3" t="s">
        <v>27</v>
      </c>
      <c r="D216" s="3">
        <v>0.4</v>
      </c>
      <c r="E216" s="3" t="s">
        <v>242</v>
      </c>
      <c r="F216" s="4">
        <v>583.6</v>
      </c>
      <c r="G216" s="4">
        <v>356</v>
      </c>
      <c r="H216" s="4">
        <v>227.6</v>
      </c>
      <c r="I216" s="4">
        <v>351</v>
      </c>
      <c r="J216" s="4">
        <v>110.13</v>
      </c>
      <c r="K216" s="4">
        <v>12</v>
      </c>
      <c r="L216" s="4">
        <v>0</v>
      </c>
      <c r="M216" s="4">
        <v>0</v>
      </c>
      <c r="N216" s="4">
        <v>114.4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152.72999999999999</v>
      </c>
      <c r="Z216" s="4">
        <v>26.33</v>
      </c>
      <c r="AA216" s="4">
        <v>12</v>
      </c>
      <c r="AB216" s="4">
        <v>0</v>
      </c>
      <c r="AC216" s="4">
        <v>0</v>
      </c>
      <c r="AD216" s="4">
        <v>114.4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10">
        <f t="shared" si="12"/>
        <v>351</v>
      </c>
      <c r="AP216" s="10">
        <f t="shared" si="13"/>
        <v>236.53</v>
      </c>
      <c r="AQ216" s="1">
        <f t="shared" si="14"/>
        <v>587.53</v>
      </c>
      <c r="AR216" s="1">
        <f t="shared" si="15"/>
        <v>3.92999999999995</v>
      </c>
    </row>
    <row r="217" spans="1:44" x14ac:dyDescent="0.2">
      <c r="A217" s="3">
        <v>210</v>
      </c>
      <c r="B217" s="3" t="s">
        <v>251</v>
      </c>
      <c r="C217" s="3" t="s">
        <v>27</v>
      </c>
      <c r="D217" s="3">
        <v>1</v>
      </c>
      <c r="E217" s="3" t="s">
        <v>242</v>
      </c>
      <c r="F217" s="4">
        <v>1459</v>
      </c>
      <c r="G217" s="4">
        <v>890</v>
      </c>
      <c r="H217" s="4">
        <v>569</v>
      </c>
      <c r="I217" s="4">
        <v>887.04</v>
      </c>
      <c r="J217" s="4">
        <v>270.75</v>
      </c>
      <c r="K217" s="4">
        <v>97</v>
      </c>
      <c r="L217" s="4">
        <v>0</v>
      </c>
      <c r="M217" s="4">
        <v>0</v>
      </c>
      <c r="N217" s="4">
        <v>68</v>
      </c>
      <c r="O217" s="4">
        <v>144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382.75</v>
      </c>
      <c r="Z217" s="4">
        <v>73.75</v>
      </c>
      <c r="AA217" s="4">
        <v>97</v>
      </c>
      <c r="AB217" s="4">
        <v>0</v>
      </c>
      <c r="AC217" s="4">
        <v>0</v>
      </c>
      <c r="AD217" s="4">
        <v>68</v>
      </c>
      <c r="AE217" s="4">
        <v>144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10">
        <f t="shared" si="12"/>
        <v>887.04</v>
      </c>
      <c r="AP217" s="10">
        <f t="shared" si="13"/>
        <v>579.75</v>
      </c>
      <c r="AQ217" s="1">
        <f t="shared" si="14"/>
        <v>1466.79</v>
      </c>
      <c r="AR217" s="1">
        <f t="shared" si="15"/>
        <v>7.7899999999999636</v>
      </c>
    </row>
    <row r="218" spans="1:44" x14ac:dyDescent="0.2">
      <c r="A218" s="3">
        <v>211</v>
      </c>
      <c r="B218" s="3" t="s">
        <v>252</v>
      </c>
      <c r="C218" s="3" t="s">
        <v>27</v>
      </c>
      <c r="D218" s="3">
        <v>0.1</v>
      </c>
      <c r="E218" s="3" t="s">
        <v>242</v>
      </c>
      <c r="F218" s="4">
        <v>145.9</v>
      </c>
      <c r="G218" s="4">
        <v>89</v>
      </c>
      <c r="H218" s="4">
        <v>56.9</v>
      </c>
      <c r="I218" s="4">
        <v>75</v>
      </c>
      <c r="J218" s="4">
        <v>17.5</v>
      </c>
      <c r="K218" s="4">
        <v>8</v>
      </c>
      <c r="L218" s="4">
        <v>0</v>
      </c>
      <c r="M218" s="4">
        <v>0</v>
      </c>
      <c r="N218" s="4">
        <v>45.52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53.52</v>
      </c>
      <c r="Z218" s="4">
        <v>0</v>
      </c>
      <c r="AA218" s="4">
        <v>8</v>
      </c>
      <c r="AB218" s="4">
        <v>0</v>
      </c>
      <c r="AC218" s="4">
        <v>0</v>
      </c>
      <c r="AD218" s="4">
        <v>45.52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10">
        <f t="shared" si="12"/>
        <v>75</v>
      </c>
      <c r="AP218" s="10">
        <f t="shared" si="13"/>
        <v>71.02000000000001</v>
      </c>
      <c r="AQ218" s="1">
        <f t="shared" si="14"/>
        <v>146.02000000000001</v>
      </c>
      <c r="AR218" s="1">
        <f t="shared" si="15"/>
        <v>0.12000000000000455</v>
      </c>
    </row>
    <row r="219" spans="1:44" x14ac:dyDescent="0.2">
      <c r="A219" s="3">
        <v>212</v>
      </c>
      <c r="B219" s="3" t="s">
        <v>253</v>
      </c>
      <c r="C219" s="3" t="s">
        <v>27</v>
      </c>
      <c r="D219" s="3">
        <v>1</v>
      </c>
      <c r="E219" s="3" t="s">
        <v>242</v>
      </c>
      <c r="F219" s="4">
        <v>1459</v>
      </c>
      <c r="G219" s="4">
        <v>890</v>
      </c>
      <c r="H219" s="4">
        <v>569</v>
      </c>
      <c r="I219" s="4">
        <v>792.22</v>
      </c>
      <c r="J219" s="4">
        <v>212.59</v>
      </c>
      <c r="K219" s="4">
        <v>96</v>
      </c>
      <c r="L219" s="4">
        <v>284.5</v>
      </c>
      <c r="M219" s="4">
        <v>2</v>
      </c>
      <c r="N219" s="4">
        <v>32.799999999999997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448.89</v>
      </c>
      <c r="Z219" s="4">
        <v>35.590000000000003</v>
      </c>
      <c r="AA219" s="4">
        <v>96</v>
      </c>
      <c r="AB219" s="4">
        <v>284.5</v>
      </c>
      <c r="AC219" s="4">
        <v>0</v>
      </c>
      <c r="AD219" s="4">
        <v>32.799999999999997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10">
        <f t="shared" si="12"/>
        <v>792.22</v>
      </c>
      <c r="AP219" s="10">
        <f t="shared" si="13"/>
        <v>627.89</v>
      </c>
      <c r="AQ219" s="1">
        <f t="shared" si="14"/>
        <v>1420.1100000000001</v>
      </c>
      <c r="AR219" s="1">
        <f t="shared" si="15"/>
        <v>-38.889999999999873</v>
      </c>
    </row>
    <row r="220" spans="1:44" x14ac:dyDescent="0.2">
      <c r="A220" s="3">
        <v>213</v>
      </c>
      <c r="B220" s="3" t="s">
        <v>254</v>
      </c>
      <c r="C220" s="3" t="s">
        <v>27</v>
      </c>
      <c r="D220" s="3">
        <v>0.1</v>
      </c>
      <c r="E220" s="3" t="s">
        <v>242</v>
      </c>
      <c r="F220" s="4">
        <v>145.9</v>
      </c>
      <c r="G220" s="4">
        <v>89</v>
      </c>
      <c r="H220" s="4">
        <v>56.9</v>
      </c>
      <c r="I220" s="4">
        <v>53</v>
      </c>
      <c r="J220" s="4"/>
      <c r="K220" s="4"/>
      <c r="L220" s="4"/>
      <c r="M220" s="4"/>
      <c r="N220" s="4"/>
      <c r="O220" s="4"/>
      <c r="P220" s="4"/>
      <c r="Q220" s="4">
        <v>0</v>
      </c>
      <c r="R220" s="4"/>
      <c r="S220" s="4"/>
      <c r="T220" s="4"/>
      <c r="U220" s="4"/>
      <c r="V220" s="4"/>
      <c r="W220" s="4"/>
      <c r="X220" s="4"/>
      <c r="Y220" s="4">
        <v>0</v>
      </c>
      <c r="Z220" s="4"/>
      <c r="AA220" s="4"/>
      <c r="AB220" s="4"/>
      <c r="AC220" s="4"/>
      <c r="AD220" s="4"/>
      <c r="AE220" s="4"/>
      <c r="AF220" s="4"/>
      <c r="AG220" s="4">
        <v>0</v>
      </c>
      <c r="AH220" s="4"/>
      <c r="AI220" s="4"/>
      <c r="AJ220" s="4"/>
      <c r="AK220" s="4"/>
      <c r="AL220" s="4"/>
      <c r="AM220" s="4"/>
      <c r="AN220" s="4"/>
      <c r="AO220" s="10">
        <f t="shared" si="12"/>
        <v>53</v>
      </c>
      <c r="AP220" s="10">
        <f t="shared" si="13"/>
        <v>0</v>
      </c>
      <c r="AQ220" s="1">
        <f t="shared" si="14"/>
        <v>53</v>
      </c>
      <c r="AR220" s="1">
        <f t="shared" si="15"/>
        <v>-92.9</v>
      </c>
    </row>
    <row r="221" spans="1:44" x14ac:dyDescent="0.2">
      <c r="A221" s="3">
        <v>214</v>
      </c>
      <c r="B221" s="3" t="s">
        <v>255</v>
      </c>
      <c r="C221" s="3" t="s">
        <v>27</v>
      </c>
      <c r="D221" s="3">
        <v>1</v>
      </c>
      <c r="E221" s="3" t="s">
        <v>242</v>
      </c>
      <c r="F221" s="4">
        <v>1459</v>
      </c>
      <c r="G221" s="4">
        <v>890</v>
      </c>
      <c r="H221" s="4">
        <v>569</v>
      </c>
      <c r="I221" s="4">
        <v>883</v>
      </c>
      <c r="J221" s="4">
        <v>173.8</v>
      </c>
      <c r="K221" s="4">
        <v>156</v>
      </c>
      <c r="L221" s="4">
        <v>0</v>
      </c>
      <c r="M221" s="4">
        <v>0</v>
      </c>
      <c r="N221" s="4">
        <v>68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76</v>
      </c>
      <c r="Z221" s="4">
        <v>8</v>
      </c>
      <c r="AA221" s="4">
        <v>0</v>
      </c>
      <c r="AB221" s="4">
        <v>0</v>
      </c>
      <c r="AC221" s="4">
        <v>0</v>
      </c>
      <c r="AD221" s="4">
        <v>68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10">
        <f t="shared" si="12"/>
        <v>883</v>
      </c>
      <c r="AP221" s="10">
        <f t="shared" si="13"/>
        <v>397.8</v>
      </c>
      <c r="AQ221" s="1">
        <f t="shared" si="14"/>
        <v>1280.8</v>
      </c>
      <c r="AR221" s="1">
        <f t="shared" si="15"/>
        <v>-178.20000000000005</v>
      </c>
    </row>
    <row r="222" spans="1:44" x14ac:dyDescent="0.2">
      <c r="A222" s="3">
        <v>215</v>
      </c>
      <c r="B222" s="3" t="s">
        <v>256</v>
      </c>
      <c r="C222" s="3" t="s">
        <v>48</v>
      </c>
      <c r="D222" s="3">
        <v>0.5</v>
      </c>
      <c r="E222" s="3" t="s">
        <v>242</v>
      </c>
      <c r="F222" s="4">
        <v>729.5</v>
      </c>
      <c r="G222" s="4">
        <v>445</v>
      </c>
      <c r="H222" s="4">
        <v>284.5</v>
      </c>
      <c r="I222" s="4">
        <v>445</v>
      </c>
      <c r="J222" s="4">
        <v>92.75</v>
      </c>
      <c r="K222" s="4">
        <v>52</v>
      </c>
      <c r="L222" s="4">
        <v>0</v>
      </c>
      <c r="M222" s="4">
        <v>185</v>
      </c>
      <c r="N222" s="4">
        <v>28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280.25</v>
      </c>
      <c r="Z222" s="4">
        <v>19.25</v>
      </c>
      <c r="AA222" s="4">
        <v>48</v>
      </c>
      <c r="AB222" s="4">
        <v>0</v>
      </c>
      <c r="AC222" s="4">
        <v>185</v>
      </c>
      <c r="AD222" s="4">
        <v>28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10">
        <f t="shared" si="12"/>
        <v>445</v>
      </c>
      <c r="AP222" s="10">
        <f t="shared" si="13"/>
        <v>357.75</v>
      </c>
      <c r="AQ222" s="1">
        <f t="shared" si="14"/>
        <v>802.75</v>
      </c>
      <c r="AR222" s="1">
        <f t="shared" si="15"/>
        <v>73.25</v>
      </c>
    </row>
    <row r="223" spans="1:44" x14ac:dyDescent="0.2">
      <c r="A223" s="3">
        <v>216</v>
      </c>
      <c r="B223" s="3" t="s">
        <v>130</v>
      </c>
      <c r="C223" s="3" t="s">
        <v>32</v>
      </c>
      <c r="D223" s="3">
        <v>0.25</v>
      </c>
      <c r="E223" s="3" t="s">
        <v>242</v>
      </c>
      <c r="F223" s="4">
        <v>364.75</v>
      </c>
      <c r="G223" s="4">
        <v>222.5</v>
      </c>
      <c r="H223" s="4">
        <v>142.25</v>
      </c>
      <c r="I223" s="4">
        <v>205.04</v>
      </c>
      <c r="J223" s="4">
        <v>81.5</v>
      </c>
      <c r="K223" s="4">
        <v>0</v>
      </c>
      <c r="L223" s="4">
        <v>0</v>
      </c>
      <c r="M223" s="4">
        <v>2</v>
      </c>
      <c r="N223" s="4">
        <v>53.2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53.2</v>
      </c>
      <c r="Z223" s="4">
        <v>0</v>
      </c>
      <c r="AA223" s="4">
        <v>0</v>
      </c>
      <c r="AB223" s="4">
        <v>0</v>
      </c>
      <c r="AC223" s="4">
        <v>0</v>
      </c>
      <c r="AD223" s="4">
        <v>53.2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10">
        <f t="shared" si="12"/>
        <v>205.04</v>
      </c>
      <c r="AP223" s="10">
        <f t="shared" si="13"/>
        <v>136.69999999999999</v>
      </c>
      <c r="AQ223" s="1">
        <f t="shared" si="14"/>
        <v>341.74</v>
      </c>
      <c r="AR223" s="1">
        <f t="shared" si="15"/>
        <v>-23.009999999999991</v>
      </c>
    </row>
    <row r="224" spans="1:44" x14ac:dyDescent="0.2">
      <c r="A224" s="3">
        <v>217</v>
      </c>
      <c r="B224" s="3" t="s">
        <v>257</v>
      </c>
      <c r="C224" s="3" t="s">
        <v>48</v>
      </c>
      <c r="D224" s="3">
        <v>0.25</v>
      </c>
      <c r="E224" s="3" t="s">
        <v>242</v>
      </c>
      <c r="F224" s="4">
        <v>364.75</v>
      </c>
      <c r="G224" s="4">
        <v>222.5</v>
      </c>
      <c r="H224" s="4">
        <v>142.25</v>
      </c>
      <c r="I224" s="4">
        <v>203</v>
      </c>
      <c r="J224" s="4">
        <v>40</v>
      </c>
      <c r="K224" s="4">
        <v>16</v>
      </c>
      <c r="L224" s="4">
        <v>0</v>
      </c>
      <c r="M224" s="4">
        <v>2</v>
      </c>
      <c r="N224" s="4">
        <v>152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170</v>
      </c>
      <c r="Z224" s="4">
        <v>0</v>
      </c>
      <c r="AA224" s="4">
        <v>16</v>
      </c>
      <c r="AB224" s="4">
        <v>0</v>
      </c>
      <c r="AC224" s="4">
        <v>2</v>
      </c>
      <c r="AD224" s="4">
        <v>152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10">
        <f t="shared" si="12"/>
        <v>203</v>
      </c>
      <c r="AP224" s="10">
        <f t="shared" si="13"/>
        <v>210</v>
      </c>
      <c r="AQ224" s="1">
        <f t="shared" si="14"/>
        <v>413</v>
      </c>
      <c r="AR224" s="1">
        <f t="shared" si="15"/>
        <v>48.25</v>
      </c>
    </row>
    <row r="225" spans="1:44" x14ac:dyDescent="0.2">
      <c r="A225" s="3">
        <v>218</v>
      </c>
      <c r="B225" s="3" t="s">
        <v>258</v>
      </c>
      <c r="C225" s="3" t="s">
        <v>48</v>
      </c>
      <c r="D225" s="3">
        <v>0.5</v>
      </c>
      <c r="E225" s="3" t="s">
        <v>242</v>
      </c>
      <c r="F225" s="4">
        <v>729.5</v>
      </c>
      <c r="G225" s="4">
        <v>445</v>
      </c>
      <c r="H225" s="4">
        <v>284.5</v>
      </c>
      <c r="I225" s="4">
        <v>424</v>
      </c>
      <c r="J225" s="4">
        <v>131.30000000000001</v>
      </c>
      <c r="K225" s="4">
        <v>0</v>
      </c>
      <c r="L225" s="4">
        <v>0</v>
      </c>
      <c r="M225" s="4">
        <v>0</v>
      </c>
      <c r="N225" s="4">
        <v>52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52</v>
      </c>
      <c r="Z225" s="4">
        <v>0</v>
      </c>
      <c r="AA225" s="4">
        <v>0</v>
      </c>
      <c r="AB225" s="4">
        <v>0</v>
      </c>
      <c r="AC225" s="4">
        <v>0</v>
      </c>
      <c r="AD225" s="4">
        <v>52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10">
        <f t="shared" si="12"/>
        <v>424</v>
      </c>
      <c r="AP225" s="10">
        <f t="shared" si="13"/>
        <v>183.3</v>
      </c>
      <c r="AQ225" s="1">
        <f t="shared" si="14"/>
        <v>607.29999999999995</v>
      </c>
      <c r="AR225" s="1">
        <f t="shared" si="15"/>
        <v>-122.20000000000005</v>
      </c>
    </row>
    <row r="226" spans="1:44" x14ac:dyDescent="0.2">
      <c r="A226" s="3">
        <v>219</v>
      </c>
      <c r="B226" s="3" t="s">
        <v>259</v>
      </c>
      <c r="C226" s="3" t="s">
        <v>27</v>
      </c>
      <c r="D226" s="3">
        <v>0.5</v>
      </c>
      <c r="E226" s="3" t="s">
        <v>242</v>
      </c>
      <c r="F226" s="4">
        <v>729.5</v>
      </c>
      <c r="G226" s="4">
        <v>445</v>
      </c>
      <c r="H226" s="4">
        <v>284.5</v>
      </c>
      <c r="I226" s="4">
        <v>444</v>
      </c>
      <c r="J226" s="4">
        <v>155.75</v>
      </c>
      <c r="K226" s="4">
        <v>24</v>
      </c>
      <c r="L226" s="4">
        <v>0</v>
      </c>
      <c r="M226" s="4">
        <v>80</v>
      </c>
      <c r="N226" s="4">
        <v>28</v>
      </c>
      <c r="O226" s="4">
        <v>144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333.75</v>
      </c>
      <c r="Z226" s="4">
        <v>57.75</v>
      </c>
      <c r="AA226" s="4">
        <v>24</v>
      </c>
      <c r="AB226" s="4">
        <v>0</v>
      </c>
      <c r="AC226" s="4">
        <v>80</v>
      </c>
      <c r="AD226" s="4">
        <v>28</v>
      </c>
      <c r="AE226" s="4">
        <v>144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10">
        <f t="shared" si="12"/>
        <v>444</v>
      </c>
      <c r="AP226" s="10">
        <f t="shared" si="13"/>
        <v>431.75</v>
      </c>
      <c r="AQ226" s="1">
        <f t="shared" si="14"/>
        <v>875.75</v>
      </c>
      <c r="AR226" s="1">
        <f t="shared" si="15"/>
        <v>146.25</v>
      </c>
    </row>
    <row r="227" spans="1:44" x14ac:dyDescent="0.2">
      <c r="A227" s="3">
        <v>220</v>
      </c>
      <c r="B227" s="3" t="s">
        <v>260</v>
      </c>
      <c r="C227" s="3" t="s">
        <v>27</v>
      </c>
      <c r="D227" s="3">
        <v>0.5</v>
      </c>
      <c r="E227" s="3" t="s">
        <v>242</v>
      </c>
      <c r="F227" s="4">
        <v>729.5</v>
      </c>
      <c r="G227" s="4">
        <v>445</v>
      </c>
      <c r="H227" s="4">
        <v>284.5</v>
      </c>
      <c r="I227" s="4">
        <v>431</v>
      </c>
      <c r="J227" s="4">
        <v>129.75</v>
      </c>
      <c r="K227" s="4">
        <v>14</v>
      </c>
      <c r="L227" s="4">
        <v>0</v>
      </c>
      <c r="M227" s="4">
        <v>0</v>
      </c>
      <c r="N227" s="4">
        <v>8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4</v>
      </c>
      <c r="Z227" s="4">
        <v>0</v>
      </c>
      <c r="AA227" s="4">
        <v>4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10">
        <f t="shared" si="12"/>
        <v>431</v>
      </c>
      <c r="AP227" s="10">
        <f t="shared" si="13"/>
        <v>151.75</v>
      </c>
      <c r="AQ227" s="1">
        <f t="shared" si="14"/>
        <v>582.75</v>
      </c>
      <c r="AR227" s="1">
        <f t="shared" si="15"/>
        <v>-146.75</v>
      </c>
    </row>
    <row r="228" spans="1:44" x14ac:dyDescent="0.2">
      <c r="A228" s="3">
        <v>221</v>
      </c>
      <c r="B228" s="3" t="s">
        <v>261</v>
      </c>
      <c r="C228" s="3" t="s">
        <v>27</v>
      </c>
      <c r="D228" s="3">
        <v>0.25</v>
      </c>
      <c r="E228" s="3" t="s">
        <v>242</v>
      </c>
      <c r="F228" s="4">
        <v>364.75</v>
      </c>
      <c r="G228" s="4">
        <v>222.5</v>
      </c>
      <c r="H228" s="4">
        <v>142.25</v>
      </c>
      <c r="I228" s="4">
        <v>218</v>
      </c>
      <c r="J228" s="4">
        <v>50.75</v>
      </c>
      <c r="K228" s="4">
        <v>6</v>
      </c>
      <c r="L228" s="4">
        <v>0</v>
      </c>
      <c r="M228" s="4">
        <v>62</v>
      </c>
      <c r="N228" s="4">
        <v>28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97.25</v>
      </c>
      <c r="Z228" s="4">
        <v>1.25</v>
      </c>
      <c r="AA228" s="4">
        <v>6</v>
      </c>
      <c r="AB228" s="4">
        <v>0</v>
      </c>
      <c r="AC228" s="4">
        <v>62</v>
      </c>
      <c r="AD228" s="4">
        <v>28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10">
        <f t="shared" si="12"/>
        <v>218</v>
      </c>
      <c r="AP228" s="10">
        <f t="shared" si="13"/>
        <v>146.75</v>
      </c>
      <c r="AQ228" s="1">
        <f t="shared" si="14"/>
        <v>364.75</v>
      </c>
      <c r="AR228" s="1">
        <f t="shared" si="15"/>
        <v>0</v>
      </c>
    </row>
    <row r="229" spans="1:44" x14ac:dyDescent="0.2">
      <c r="A229" s="3">
        <v>222</v>
      </c>
      <c r="B229" s="3" t="s">
        <v>262</v>
      </c>
      <c r="C229" s="3" t="s">
        <v>48</v>
      </c>
      <c r="D229" s="3">
        <v>1</v>
      </c>
      <c r="E229" s="3" t="s">
        <v>242</v>
      </c>
      <c r="F229" s="4">
        <v>1459</v>
      </c>
      <c r="G229" s="4">
        <v>890</v>
      </c>
      <c r="H229" s="4">
        <v>569</v>
      </c>
      <c r="I229" s="4">
        <v>773</v>
      </c>
      <c r="J229" s="4">
        <v>178.64</v>
      </c>
      <c r="K229" s="4">
        <v>16</v>
      </c>
      <c r="L229" s="4">
        <v>0</v>
      </c>
      <c r="M229" s="4">
        <v>454</v>
      </c>
      <c r="N229" s="4">
        <v>28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536</v>
      </c>
      <c r="Z229" s="4">
        <v>38</v>
      </c>
      <c r="AA229" s="4">
        <v>16</v>
      </c>
      <c r="AB229" s="4">
        <v>0</v>
      </c>
      <c r="AC229" s="4">
        <v>454</v>
      </c>
      <c r="AD229" s="4">
        <v>28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10">
        <f t="shared" si="12"/>
        <v>773</v>
      </c>
      <c r="AP229" s="10">
        <f t="shared" si="13"/>
        <v>676.64</v>
      </c>
      <c r="AQ229" s="1">
        <f t="shared" si="14"/>
        <v>1449.6399999999999</v>
      </c>
      <c r="AR229" s="1">
        <f t="shared" si="15"/>
        <v>-9.3600000000001273</v>
      </c>
    </row>
    <row r="230" spans="1:44" x14ac:dyDescent="0.2">
      <c r="A230" s="3">
        <v>223</v>
      </c>
      <c r="B230" s="3" t="s">
        <v>263</v>
      </c>
      <c r="C230" s="3" t="s">
        <v>27</v>
      </c>
      <c r="D230" s="3">
        <v>0.25</v>
      </c>
      <c r="E230" s="3" t="s">
        <v>242</v>
      </c>
      <c r="F230" s="4">
        <v>364.75</v>
      </c>
      <c r="G230" s="4">
        <v>222.5</v>
      </c>
      <c r="H230" s="4">
        <v>142.25</v>
      </c>
      <c r="I230" s="4">
        <v>136</v>
      </c>
      <c r="J230" s="4">
        <v>42</v>
      </c>
      <c r="K230" s="4">
        <v>6</v>
      </c>
      <c r="L230" s="4">
        <v>0</v>
      </c>
      <c r="M230" s="4">
        <v>0</v>
      </c>
      <c r="N230" s="4">
        <v>178.25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194.75</v>
      </c>
      <c r="Z230" s="4">
        <v>10.5</v>
      </c>
      <c r="AA230" s="4">
        <v>6</v>
      </c>
      <c r="AB230" s="4">
        <v>0</v>
      </c>
      <c r="AC230" s="4">
        <v>0</v>
      </c>
      <c r="AD230" s="4">
        <v>178.25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10">
        <f t="shared" si="12"/>
        <v>136</v>
      </c>
      <c r="AP230" s="10">
        <f t="shared" si="13"/>
        <v>226.25</v>
      </c>
      <c r="AQ230" s="1">
        <f t="shared" si="14"/>
        <v>362.25</v>
      </c>
      <c r="AR230" s="1">
        <f t="shared" si="15"/>
        <v>-2.5</v>
      </c>
    </row>
    <row r="231" spans="1:44" x14ac:dyDescent="0.2">
      <c r="A231" s="3">
        <v>224</v>
      </c>
      <c r="B231" s="3" t="s">
        <v>264</v>
      </c>
      <c r="C231" s="3" t="s">
        <v>27</v>
      </c>
      <c r="D231" s="3">
        <v>0.1</v>
      </c>
      <c r="E231" s="3" t="s">
        <v>265</v>
      </c>
      <c r="F231" s="4">
        <v>145.9</v>
      </c>
      <c r="G231" s="4">
        <v>89</v>
      </c>
      <c r="H231" s="4">
        <v>56.9</v>
      </c>
      <c r="I231" s="4">
        <v>89</v>
      </c>
      <c r="J231" s="4">
        <v>0</v>
      </c>
      <c r="K231" s="4">
        <v>0</v>
      </c>
      <c r="L231" s="4">
        <v>0</v>
      </c>
      <c r="M231" s="4">
        <v>25</v>
      </c>
      <c r="N231" s="4">
        <v>28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53</v>
      </c>
      <c r="Z231" s="4">
        <v>0</v>
      </c>
      <c r="AA231" s="4">
        <v>0</v>
      </c>
      <c r="AB231" s="4">
        <v>0</v>
      </c>
      <c r="AC231" s="4">
        <v>25</v>
      </c>
      <c r="AD231" s="4">
        <v>28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10">
        <f t="shared" si="12"/>
        <v>89</v>
      </c>
      <c r="AP231" s="10">
        <f t="shared" si="13"/>
        <v>53</v>
      </c>
      <c r="AQ231" s="1">
        <f t="shared" si="14"/>
        <v>142</v>
      </c>
      <c r="AR231" s="1">
        <f t="shared" si="15"/>
        <v>-3.9000000000000057</v>
      </c>
    </row>
    <row r="232" spans="1:44" x14ac:dyDescent="0.2">
      <c r="A232" s="3">
        <v>225</v>
      </c>
      <c r="B232" s="3" t="s">
        <v>266</v>
      </c>
      <c r="C232" s="3" t="s">
        <v>27</v>
      </c>
      <c r="D232" s="3">
        <v>0.5</v>
      </c>
      <c r="E232" s="3" t="s">
        <v>265</v>
      </c>
      <c r="F232" s="4">
        <v>729.5</v>
      </c>
      <c r="G232" s="4">
        <v>445</v>
      </c>
      <c r="H232" s="4">
        <v>284.5</v>
      </c>
      <c r="I232" s="4">
        <v>440.5</v>
      </c>
      <c r="J232" s="4">
        <v>105</v>
      </c>
      <c r="K232" s="4">
        <v>24</v>
      </c>
      <c r="L232" s="4">
        <v>0</v>
      </c>
      <c r="M232" s="4">
        <v>45.01</v>
      </c>
      <c r="N232" s="4">
        <v>28</v>
      </c>
      <c r="O232" s="4">
        <v>72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183.01</v>
      </c>
      <c r="Z232" s="4">
        <v>14</v>
      </c>
      <c r="AA232" s="4">
        <v>24</v>
      </c>
      <c r="AB232" s="4">
        <v>0</v>
      </c>
      <c r="AC232" s="4">
        <v>45.01</v>
      </c>
      <c r="AD232" s="4">
        <v>28</v>
      </c>
      <c r="AE232" s="4">
        <v>72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10">
        <f t="shared" si="12"/>
        <v>440.5</v>
      </c>
      <c r="AP232" s="10">
        <f t="shared" si="13"/>
        <v>274.01</v>
      </c>
      <c r="AQ232" s="1">
        <f t="shared" si="14"/>
        <v>714.51</v>
      </c>
      <c r="AR232" s="1">
        <f t="shared" si="15"/>
        <v>-14.990000000000009</v>
      </c>
    </row>
    <row r="233" spans="1:44" x14ac:dyDescent="0.2">
      <c r="A233" s="3">
        <v>226</v>
      </c>
      <c r="B233" s="3" t="s">
        <v>267</v>
      </c>
      <c r="C233" s="3" t="s">
        <v>48</v>
      </c>
      <c r="D233" s="3">
        <v>0.5</v>
      </c>
      <c r="E233" s="3" t="s">
        <v>265</v>
      </c>
      <c r="F233" s="4">
        <v>729.5</v>
      </c>
      <c r="G233" s="4">
        <v>445</v>
      </c>
      <c r="H233" s="4">
        <v>284.5</v>
      </c>
      <c r="I233" s="4">
        <v>444.6</v>
      </c>
      <c r="J233" s="4">
        <v>58.5</v>
      </c>
      <c r="K233" s="4">
        <v>42</v>
      </c>
      <c r="L233" s="4">
        <v>0</v>
      </c>
      <c r="M233" s="4">
        <v>95</v>
      </c>
      <c r="N233" s="4">
        <v>28</v>
      </c>
      <c r="O233" s="4">
        <v>72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213</v>
      </c>
      <c r="Z233" s="4">
        <v>0</v>
      </c>
      <c r="AA233" s="4">
        <v>18</v>
      </c>
      <c r="AB233" s="4">
        <v>0</v>
      </c>
      <c r="AC233" s="4">
        <v>95</v>
      </c>
      <c r="AD233" s="4">
        <v>28</v>
      </c>
      <c r="AE233" s="4">
        <v>72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10">
        <f t="shared" si="12"/>
        <v>444.6</v>
      </c>
      <c r="AP233" s="10">
        <f t="shared" si="13"/>
        <v>295.5</v>
      </c>
      <c r="AQ233" s="1">
        <f t="shared" si="14"/>
        <v>740.1</v>
      </c>
      <c r="AR233" s="1">
        <f t="shared" si="15"/>
        <v>10.600000000000023</v>
      </c>
    </row>
    <row r="234" spans="1:44" x14ac:dyDescent="0.2">
      <c r="A234" s="3">
        <v>227</v>
      </c>
      <c r="B234" s="3" t="s">
        <v>268</v>
      </c>
      <c r="C234" s="3" t="s">
        <v>27</v>
      </c>
      <c r="D234" s="3">
        <v>0.1</v>
      </c>
      <c r="E234" s="3" t="s">
        <v>265</v>
      </c>
      <c r="F234" s="4">
        <v>145.9</v>
      </c>
      <c r="G234" s="4">
        <v>89</v>
      </c>
      <c r="H234" s="4">
        <v>56.9</v>
      </c>
      <c r="I234" s="4">
        <v>89</v>
      </c>
      <c r="J234" s="4">
        <v>20</v>
      </c>
      <c r="K234" s="4">
        <v>10</v>
      </c>
      <c r="L234" s="4">
        <v>0</v>
      </c>
      <c r="M234" s="4">
        <v>0</v>
      </c>
      <c r="N234" s="4">
        <v>26.9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36.9</v>
      </c>
      <c r="Z234" s="4">
        <v>0</v>
      </c>
      <c r="AA234" s="4">
        <v>10</v>
      </c>
      <c r="AB234" s="4">
        <v>0</v>
      </c>
      <c r="AC234" s="4">
        <v>0</v>
      </c>
      <c r="AD234" s="4">
        <v>26.9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10">
        <f t="shared" si="12"/>
        <v>89</v>
      </c>
      <c r="AP234" s="10">
        <f t="shared" si="13"/>
        <v>56.9</v>
      </c>
      <c r="AQ234" s="1">
        <f t="shared" si="14"/>
        <v>145.9</v>
      </c>
      <c r="AR234" s="1">
        <f t="shared" si="15"/>
        <v>0</v>
      </c>
    </row>
    <row r="235" spans="1:44" x14ac:dyDescent="0.2">
      <c r="A235" s="3">
        <v>228</v>
      </c>
      <c r="B235" s="3" t="s">
        <v>269</v>
      </c>
      <c r="C235" s="3" t="s">
        <v>27</v>
      </c>
      <c r="D235" s="3">
        <v>1</v>
      </c>
      <c r="E235" s="3" t="s">
        <v>265</v>
      </c>
      <c r="F235" s="4">
        <v>1459</v>
      </c>
      <c r="G235" s="4">
        <v>890</v>
      </c>
      <c r="H235" s="4">
        <v>569</v>
      </c>
      <c r="I235" s="4">
        <v>798</v>
      </c>
      <c r="J235" s="4">
        <v>84.5</v>
      </c>
      <c r="K235" s="4">
        <v>18</v>
      </c>
      <c r="L235" s="4">
        <v>0</v>
      </c>
      <c r="M235" s="4">
        <v>75</v>
      </c>
      <c r="N235" s="4">
        <v>291.5</v>
      </c>
      <c r="O235" s="4">
        <v>108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566.5</v>
      </c>
      <c r="Z235" s="4">
        <v>80</v>
      </c>
      <c r="AA235" s="4">
        <v>12</v>
      </c>
      <c r="AB235" s="4">
        <v>0</v>
      </c>
      <c r="AC235" s="4">
        <v>75</v>
      </c>
      <c r="AD235" s="4">
        <v>291.5</v>
      </c>
      <c r="AE235" s="4">
        <v>108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10">
        <f t="shared" si="12"/>
        <v>798</v>
      </c>
      <c r="AP235" s="10">
        <f t="shared" si="13"/>
        <v>577</v>
      </c>
      <c r="AQ235" s="1">
        <f t="shared" si="14"/>
        <v>1375</v>
      </c>
      <c r="AR235" s="1">
        <f t="shared" si="15"/>
        <v>-84</v>
      </c>
    </row>
    <row r="236" spans="1:44" x14ac:dyDescent="0.2">
      <c r="A236" s="3">
        <v>229</v>
      </c>
      <c r="B236" s="3" t="s">
        <v>270</v>
      </c>
      <c r="C236" s="3" t="s">
        <v>27</v>
      </c>
      <c r="D236" s="3">
        <v>1</v>
      </c>
      <c r="E236" s="3" t="s">
        <v>265</v>
      </c>
      <c r="F236" s="4">
        <v>1459</v>
      </c>
      <c r="G236" s="4">
        <v>890</v>
      </c>
      <c r="H236" s="4">
        <v>569</v>
      </c>
      <c r="I236" s="4">
        <v>860.5</v>
      </c>
      <c r="J236" s="4">
        <v>97.49</v>
      </c>
      <c r="K236" s="4">
        <v>24</v>
      </c>
      <c r="L236" s="4">
        <v>0</v>
      </c>
      <c r="M236" s="4">
        <v>434.01</v>
      </c>
      <c r="N236" s="4">
        <v>28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558</v>
      </c>
      <c r="Z236" s="4">
        <v>71.989999999999995</v>
      </c>
      <c r="AA236" s="4">
        <v>24</v>
      </c>
      <c r="AB236" s="4">
        <v>0</v>
      </c>
      <c r="AC236" s="4">
        <v>434.01</v>
      </c>
      <c r="AD236" s="4">
        <v>28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10">
        <f t="shared" si="12"/>
        <v>860.5</v>
      </c>
      <c r="AP236" s="10">
        <f t="shared" si="13"/>
        <v>583.5</v>
      </c>
      <c r="AQ236" s="1">
        <f t="shared" si="14"/>
        <v>1444</v>
      </c>
      <c r="AR236" s="1">
        <f t="shared" si="15"/>
        <v>-15</v>
      </c>
    </row>
    <row r="237" spans="1:44" x14ac:dyDescent="0.2">
      <c r="A237" s="3">
        <v>230</v>
      </c>
      <c r="B237" s="3" t="s">
        <v>271</v>
      </c>
      <c r="C237" s="3" t="s">
        <v>27</v>
      </c>
      <c r="D237" s="3">
        <v>0.1</v>
      </c>
      <c r="E237" s="3" t="s">
        <v>265</v>
      </c>
      <c r="F237" s="4">
        <v>145.9</v>
      </c>
      <c r="G237" s="4">
        <v>89</v>
      </c>
      <c r="H237" s="4">
        <v>56.9</v>
      </c>
      <c r="I237" s="4">
        <v>89</v>
      </c>
      <c r="J237" s="4">
        <v>20</v>
      </c>
      <c r="K237" s="4">
        <v>10</v>
      </c>
      <c r="L237" s="4">
        <v>0</v>
      </c>
      <c r="M237" s="4">
        <v>0</v>
      </c>
      <c r="N237" s="4">
        <v>26.9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10">
        <f t="shared" si="12"/>
        <v>89</v>
      </c>
      <c r="AP237" s="10">
        <f t="shared" si="13"/>
        <v>56.9</v>
      </c>
      <c r="AQ237" s="1">
        <f t="shared" si="14"/>
        <v>145.9</v>
      </c>
      <c r="AR237" s="1">
        <f t="shared" si="15"/>
        <v>0</v>
      </c>
    </row>
    <row r="238" spans="1:44" x14ac:dyDescent="0.2">
      <c r="A238" s="3">
        <v>231</v>
      </c>
      <c r="B238" s="3" t="s">
        <v>272</v>
      </c>
      <c r="C238" s="3" t="s">
        <v>27</v>
      </c>
      <c r="D238" s="3">
        <v>1</v>
      </c>
      <c r="E238" s="3" t="s">
        <v>265</v>
      </c>
      <c r="F238" s="4">
        <v>1459</v>
      </c>
      <c r="G238" s="4">
        <v>890</v>
      </c>
      <c r="H238" s="4">
        <v>569</v>
      </c>
      <c r="I238" s="4">
        <v>853</v>
      </c>
      <c r="J238" s="4">
        <v>126</v>
      </c>
      <c r="K238" s="4">
        <v>226</v>
      </c>
      <c r="L238" s="4">
        <v>0</v>
      </c>
      <c r="M238" s="4">
        <v>103</v>
      </c>
      <c r="N238" s="4">
        <v>28</v>
      </c>
      <c r="O238" s="4">
        <v>108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535</v>
      </c>
      <c r="Z238" s="4">
        <v>70</v>
      </c>
      <c r="AA238" s="4">
        <v>226</v>
      </c>
      <c r="AB238" s="4">
        <v>0</v>
      </c>
      <c r="AC238" s="4">
        <v>103</v>
      </c>
      <c r="AD238" s="4">
        <v>28</v>
      </c>
      <c r="AE238" s="4">
        <v>108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10">
        <f t="shared" si="12"/>
        <v>853</v>
      </c>
      <c r="AP238" s="10">
        <f t="shared" si="13"/>
        <v>591</v>
      </c>
      <c r="AQ238" s="1">
        <f t="shared" si="14"/>
        <v>1444</v>
      </c>
      <c r="AR238" s="1">
        <f t="shared" si="15"/>
        <v>-15</v>
      </c>
    </row>
    <row r="239" spans="1:44" x14ac:dyDescent="0.2">
      <c r="A239" s="3">
        <v>232</v>
      </c>
      <c r="B239" s="3" t="s">
        <v>273</v>
      </c>
      <c r="C239" s="3" t="s">
        <v>27</v>
      </c>
      <c r="D239" s="3">
        <v>0.4</v>
      </c>
      <c r="E239" s="3" t="s">
        <v>265</v>
      </c>
      <c r="F239" s="4">
        <v>583.6</v>
      </c>
      <c r="G239" s="4">
        <v>356</v>
      </c>
      <c r="H239" s="4">
        <v>227.6</v>
      </c>
      <c r="I239" s="4">
        <v>329.5</v>
      </c>
      <c r="J239" s="4">
        <v>82</v>
      </c>
      <c r="K239" s="4">
        <v>12</v>
      </c>
      <c r="L239" s="4">
        <v>0</v>
      </c>
      <c r="M239" s="4">
        <v>45.1</v>
      </c>
      <c r="N239" s="4">
        <v>28</v>
      </c>
      <c r="O239" s="4">
        <v>72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203.1</v>
      </c>
      <c r="Z239" s="4">
        <v>46</v>
      </c>
      <c r="AA239" s="4">
        <v>12</v>
      </c>
      <c r="AB239" s="4">
        <v>0</v>
      </c>
      <c r="AC239" s="4">
        <v>45.1</v>
      </c>
      <c r="AD239" s="4">
        <v>28</v>
      </c>
      <c r="AE239" s="4">
        <v>72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10">
        <f t="shared" si="12"/>
        <v>329.5</v>
      </c>
      <c r="AP239" s="10">
        <f t="shared" si="13"/>
        <v>239.1</v>
      </c>
      <c r="AQ239" s="1">
        <f t="shared" si="14"/>
        <v>568.6</v>
      </c>
      <c r="AR239" s="1">
        <f t="shared" si="15"/>
        <v>-15</v>
      </c>
    </row>
    <row r="240" spans="1:44" x14ac:dyDescent="0.2">
      <c r="A240" s="3">
        <v>233</v>
      </c>
      <c r="B240" s="3" t="s">
        <v>274</v>
      </c>
      <c r="C240" s="3" t="s">
        <v>36</v>
      </c>
      <c r="D240" s="3">
        <v>0.1</v>
      </c>
      <c r="E240" s="3" t="s">
        <v>265</v>
      </c>
      <c r="F240" s="4">
        <v>145.9</v>
      </c>
      <c r="G240" s="4">
        <v>89</v>
      </c>
      <c r="H240" s="4">
        <v>56.9</v>
      </c>
      <c r="I240" s="4">
        <v>89</v>
      </c>
      <c r="J240" s="4">
        <v>0</v>
      </c>
      <c r="K240" s="4">
        <v>0</v>
      </c>
      <c r="L240" s="4">
        <v>0</v>
      </c>
      <c r="M240" s="4">
        <v>20</v>
      </c>
      <c r="N240" s="4">
        <v>28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48</v>
      </c>
      <c r="Z240" s="4">
        <v>0</v>
      </c>
      <c r="AA240" s="4">
        <v>0</v>
      </c>
      <c r="AB240" s="4">
        <v>0</v>
      </c>
      <c r="AC240" s="4">
        <v>20</v>
      </c>
      <c r="AD240" s="4">
        <v>28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10">
        <f t="shared" si="12"/>
        <v>89</v>
      </c>
      <c r="AP240" s="10">
        <f t="shared" si="13"/>
        <v>48</v>
      </c>
      <c r="AQ240" s="1">
        <f t="shared" si="14"/>
        <v>137</v>
      </c>
      <c r="AR240" s="1">
        <f t="shared" si="15"/>
        <v>-8.9000000000000057</v>
      </c>
    </row>
    <row r="241" spans="1:44" x14ac:dyDescent="0.2">
      <c r="A241" s="3">
        <v>234</v>
      </c>
      <c r="B241" s="3" t="s">
        <v>96</v>
      </c>
      <c r="C241" s="3" t="s">
        <v>48</v>
      </c>
      <c r="D241" s="3">
        <v>0.1</v>
      </c>
      <c r="E241" s="3" t="s">
        <v>265</v>
      </c>
      <c r="F241" s="4">
        <v>145.9</v>
      </c>
      <c r="G241" s="4">
        <v>89</v>
      </c>
      <c r="H241" s="4">
        <v>56.9</v>
      </c>
      <c r="I241" s="4">
        <v>89</v>
      </c>
      <c r="J241" s="4">
        <v>0</v>
      </c>
      <c r="K241" s="4">
        <v>0</v>
      </c>
      <c r="L241" s="4">
        <v>0</v>
      </c>
      <c r="M241" s="4">
        <v>12.9</v>
      </c>
      <c r="N241" s="4">
        <v>28</v>
      </c>
      <c r="O241" s="4">
        <v>36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56.9</v>
      </c>
      <c r="Z241" s="4">
        <v>0</v>
      </c>
      <c r="AA241" s="4">
        <v>0</v>
      </c>
      <c r="AB241" s="4">
        <v>0</v>
      </c>
      <c r="AC241" s="4">
        <v>12.9</v>
      </c>
      <c r="AD241" s="4">
        <v>8</v>
      </c>
      <c r="AE241" s="4">
        <v>36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10">
        <f t="shared" si="12"/>
        <v>89</v>
      </c>
      <c r="AP241" s="10">
        <f t="shared" si="13"/>
        <v>76.900000000000006</v>
      </c>
      <c r="AQ241" s="1">
        <f t="shared" si="14"/>
        <v>165.9</v>
      </c>
      <c r="AR241" s="1">
        <f t="shared" si="15"/>
        <v>20</v>
      </c>
    </row>
    <row r="242" spans="1:44" x14ac:dyDescent="0.2">
      <c r="A242" s="3">
        <v>235</v>
      </c>
      <c r="B242" s="3" t="s">
        <v>275</v>
      </c>
      <c r="C242" s="3" t="s">
        <v>27</v>
      </c>
      <c r="D242" s="3">
        <v>1</v>
      </c>
      <c r="E242" s="3" t="s">
        <v>265</v>
      </c>
      <c r="F242" s="4">
        <v>1459</v>
      </c>
      <c r="G242" s="4">
        <v>890</v>
      </c>
      <c r="H242" s="4">
        <v>569</v>
      </c>
      <c r="I242" s="4">
        <v>846</v>
      </c>
      <c r="J242" s="4">
        <v>141.5</v>
      </c>
      <c r="K242" s="4">
        <v>40</v>
      </c>
      <c r="L242" s="4">
        <v>0</v>
      </c>
      <c r="M242" s="4">
        <v>316.51</v>
      </c>
      <c r="N242" s="4">
        <v>28</v>
      </c>
      <c r="O242" s="4">
        <v>72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544.51</v>
      </c>
      <c r="Z242" s="4">
        <v>88</v>
      </c>
      <c r="AA242" s="4">
        <v>40</v>
      </c>
      <c r="AB242" s="4">
        <v>0</v>
      </c>
      <c r="AC242" s="4">
        <v>316.51</v>
      </c>
      <c r="AD242" s="4">
        <v>28</v>
      </c>
      <c r="AE242" s="4">
        <v>72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10">
        <f t="shared" si="12"/>
        <v>846</v>
      </c>
      <c r="AP242" s="10">
        <f t="shared" si="13"/>
        <v>598.01</v>
      </c>
      <c r="AQ242" s="1">
        <f t="shared" si="14"/>
        <v>1444.01</v>
      </c>
      <c r="AR242" s="1">
        <f t="shared" si="15"/>
        <v>-14.990000000000009</v>
      </c>
    </row>
    <row r="243" spans="1:44" x14ac:dyDescent="0.2">
      <c r="A243" s="3">
        <v>236</v>
      </c>
      <c r="B243" s="3" t="s">
        <v>276</v>
      </c>
      <c r="C243" s="3" t="s">
        <v>48</v>
      </c>
      <c r="D243" s="3">
        <v>0.25</v>
      </c>
      <c r="E243" s="3" t="s">
        <v>265</v>
      </c>
      <c r="F243" s="4">
        <v>364.75</v>
      </c>
      <c r="G243" s="4">
        <v>222.5</v>
      </c>
      <c r="H243" s="4">
        <v>142.25</v>
      </c>
      <c r="I243" s="4">
        <v>160</v>
      </c>
      <c r="J243" s="4">
        <v>0</v>
      </c>
      <c r="K243" s="4">
        <v>0</v>
      </c>
      <c r="L243" s="4">
        <v>0</v>
      </c>
      <c r="M243" s="4">
        <v>104.75</v>
      </c>
      <c r="N243" s="4">
        <v>28</v>
      </c>
      <c r="O243" s="4">
        <v>72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204.75</v>
      </c>
      <c r="Z243" s="4">
        <v>0</v>
      </c>
      <c r="AA243" s="4">
        <v>0</v>
      </c>
      <c r="AB243" s="4">
        <v>0</v>
      </c>
      <c r="AC243" s="4">
        <v>104.75</v>
      </c>
      <c r="AD243" s="4">
        <v>28</v>
      </c>
      <c r="AE243" s="4">
        <v>72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10">
        <f t="shared" si="12"/>
        <v>160</v>
      </c>
      <c r="AP243" s="10">
        <f t="shared" si="13"/>
        <v>204.75</v>
      </c>
      <c r="AQ243" s="1">
        <f t="shared" si="14"/>
        <v>364.75</v>
      </c>
      <c r="AR243" s="1">
        <f t="shared" si="15"/>
        <v>0</v>
      </c>
    </row>
    <row r="244" spans="1:44" x14ac:dyDescent="0.2">
      <c r="A244" s="3">
        <v>237</v>
      </c>
      <c r="B244" s="3" t="s">
        <v>277</v>
      </c>
      <c r="C244" s="3" t="s">
        <v>36</v>
      </c>
      <c r="D244" s="3">
        <v>0.1</v>
      </c>
      <c r="E244" s="3" t="s">
        <v>265</v>
      </c>
      <c r="F244" s="4">
        <v>145.9</v>
      </c>
      <c r="G244" s="4">
        <v>89</v>
      </c>
      <c r="H244" s="4">
        <v>56.9</v>
      </c>
      <c r="I244" s="4">
        <v>86</v>
      </c>
      <c r="J244" s="4">
        <v>13.5</v>
      </c>
      <c r="K244" s="4">
        <v>4</v>
      </c>
      <c r="L244" s="4">
        <v>0</v>
      </c>
      <c r="M244" s="4">
        <v>0</v>
      </c>
      <c r="N244" s="4">
        <v>28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32</v>
      </c>
      <c r="Z244" s="4">
        <v>0</v>
      </c>
      <c r="AA244" s="4">
        <v>4</v>
      </c>
      <c r="AB244" s="4">
        <v>0</v>
      </c>
      <c r="AC244" s="4">
        <v>0</v>
      </c>
      <c r="AD244" s="4">
        <v>28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10">
        <f t="shared" si="12"/>
        <v>86</v>
      </c>
      <c r="AP244" s="10">
        <f t="shared" si="13"/>
        <v>45.5</v>
      </c>
      <c r="AQ244" s="1">
        <f t="shared" si="14"/>
        <v>131.5</v>
      </c>
      <c r="AR244" s="1">
        <f t="shared" si="15"/>
        <v>-14.400000000000006</v>
      </c>
    </row>
    <row r="245" spans="1:44" x14ac:dyDescent="0.2">
      <c r="A245" s="3">
        <v>238</v>
      </c>
      <c r="B245" s="3" t="s">
        <v>278</v>
      </c>
      <c r="C245" s="3" t="s">
        <v>48</v>
      </c>
      <c r="D245" s="3">
        <v>0.25</v>
      </c>
      <c r="E245" s="3" t="s">
        <v>265</v>
      </c>
      <c r="F245" s="4">
        <v>364.75</v>
      </c>
      <c r="G245" s="4">
        <v>222.5</v>
      </c>
      <c r="H245" s="4">
        <v>142.25</v>
      </c>
      <c r="I245" s="4">
        <v>222.5</v>
      </c>
      <c r="J245" s="4">
        <v>0</v>
      </c>
      <c r="K245" s="4">
        <v>4</v>
      </c>
      <c r="L245" s="4">
        <v>0</v>
      </c>
      <c r="M245" s="4">
        <v>23.25</v>
      </c>
      <c r="N245" s="4">
        <v>28</v>
      </c>
      <c r="O245" s="4">
        <v>72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127.25</v>
      </c>
      <c r="Z245" s="4">
        <v>0</v>
      </c>
      <c r="AA245" s="4">
        <v>4</v>
      </c>
      <c r="AB245" s="4">
        <v>0</v>
      </c>
      <c r="AC245" s="4">
        <v>23.25</v>
      </c>
      <c r="AD245" s="4">
        <v>28</v>
      </c>
      <c r="AE245" s="4">
        <v>72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10">
        <f t="shared" si="12"/>
        <v>222.5</v>
      </c>
      <c r="AP245" s="10">
        <f t="shared" si="13"/>
        <v>127.25</v>
      </c>
      <c r="AQ245" s="1">
        <f t="shared" si="14"/>
        <v>349.75</v>
      </c>
      <c r="AR245" s="1">
        <f t="shared" si="15"/>
        <v>-15</v>
      </c>
    </row>
    <row r="246" spans="1:44" x14ac:dyDescent="0.2">
      <c r="A246" s="3">
        <v>239</v>
      </c>
      <c r="B246" s="3" t="s">
        <v>279</v>
      </c>
      <c r="C246" s="3" t="s">
        <v>32</v>
      </c>
      <c r="D246" s="3">
        <v>0.25</v>
      </c>
      <c r="E246" s="3" t="s">
        <v>280</v>
      </c>
      <c r="F246" s="4">
        <v>364.75</v>
      </c>
      <c r="G246" s="4">
        <v>222.5</v>
      </c>
      <c r="H246" s="4">
        <v>142.25</v>
      </c>
      <c r="I246" s="4">
        <v>222</v>
      </c>
      <c r="J246" s="4">
        <v>67.3</v>
      </c>
      <c r="K246" s="4">
        <v>96</v>
      </c>
      <c r="L246" s="4">
        <v>0</v>
      </c>
      <c r="M246" s="4">
        <v>40</v>
      </c>
      <c r="N246" s="4">
        <v>28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231.3</v>
      </c>
      <c r="Z246" s="4">
        <v>67.3</v>
      </c>
      <c r="AA246" s="4">
        <v>96</v>
      </c>
      <c r="AB246" s="4">
        <v>0</v>
      </c>
      <c r="AC246" s="4">
        <v>40</v>
      </c>
      <c r="AD246" s="4">
        <v>28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10">
        <f t="shared" si="12"/>
        <v>222</v>
      </c>
      <c r="AP246" s="10">
        <f t="shared" si="13"/>
        <v>231.3</v>
      </c>
      <c r="AQ246" s="1">
        <f t="shared" si="14"/>
        <v>453.3</v>
      </c>
      <c r="AR246" s="1">
        <f t="shared" si="15"/>
        <v>88.550000000000011</v>
      </c>
    </row>
    <row r="247" spans="1:44" x14ac:dyDescent="0.2">
      <c r="A247" s="3">
        <v>240</v>
      </c>
      <c r="B247" s="3" t="s">
        <v>281</v>
      </c>
      <c r="C247" s="3" t="s">
        <v>32</v>
      </c>
      <c r="D247" s="3">
        <v>1</v>
      </c>
      <c r="E247" s="3" t="s">
        <v>280</v>
      </c>
      <c r="F247" s="4">
        <v>1459</v>
      </c>
      <c r="G247" s="4">
        <v>890</v>
      </c>
      <c r="H247" s="4">
        <v>569</v>
      </c>
      <c r="I247" s="4">
        <v>802</v>
      </c>
      <c r="J247" s="4">
        <v>235.78</v>
      </c>
      <c r="K247" s="4">
        <v>65.44</v>
      </c>
      <c r="L247" s="4">
        <v>0</v>
      </c>
      <c r="M247" s="4">
        <v>240</v>
      </c>
      <c r="N247" s="4">
        <v>108</v>
      </c>
      <c r="O247" s="4">
        <v>72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713.22</v>
      </c>
      <c r="Z247" s="4">
        <v>227.78</v>
      </c>
      <c r="AA247" s="4">
        <v>65.44</v>
      </c>
      <c r="AB247" s="4">
        <v>0</v>
      </c>
      <c r="AC247" s="4">
        <v>240</v>
      </c>
      <c r="AD247" s="4">
        <v>108</v>
      </c>
      <c r="AE247" s="4">
        <v>72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10">
        <f t="shared" si="12"/>
        <v>802</v>
      </c>
      <c r="AP247" s="10">
        <f t="shared" si="13"/>
        <v>721.22</v>
      </c>
      <c r="AQ247" s="1">
        <f t="shared" si="14"/>
        <v>1523.22</v>
      </c>
      <c r="AR247" s="1">
        <f t="shared" si="15"/>
        <v>64.220000000000027</v>
      </c>
    </row>
    <row r="248" spans="1:44" x14ac:dyDescent="0.2">
      <c r="A248" s="3">
        <v>241</v>
      </c>
      <c r="B248" s="3" t="s">
        <v>282</v>
      </c>
      <c r="C248" s="3" t="s">
        <v>32</v>
      </c>
      <c r="D248" s="3">
        <v>0.1</v>
      </c>
      <c r="E248" s="3" t="s">
        <v>280</v>
      </c>
      <c r="F248" s="4">
        <v>145.9</v>
      </c>
      <c r="G248" s="4">
        <v>89</v>
      </c>
      <c r="H248" s="4">
        <v>56.9</v>
      </c>
      <c r="I248" s="4">
        <v>89</v>
      </c>
      <c r="J248" s="4">
        <v>21.3</v>
      </c>
      <c r="K248" s="4">
        <v>12</v>
      </c>
      <c r="L248" s="4">
        <v>0</v>
      </c>
      <c r="M248" s="4">
        <v>0</v>
      </c>
      <c r="N248" s="4">
        <v>23.5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56.8</v>
      </c>
      <c r="Z248" s="4">
        <v>21.3</v>
      </c>
      <c r="AA248" s="4">
        <v>12</v>
      </c>
      <c r="AB248" s="4">
        <v>0</v>
      </c>
      <c r="AC248" s="4">
        <v>0</v>
      </c>
      <c r="AD248" s="4">
        <v>23.5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10">
        <f t="shared" si="12"/>
        <v>89</v>
      </c>
      <c r="AP248" s="10">
        <f t="shared" si="13"/>
        <v>56.8</v>
      </c>
      <c r="AQ248" s="1">
        <f t="shared" si="14"/>
        <v>145.80000000000001</v>
      </c>
      <c r="AR248" s="1">
        <f t="shared" si="15"/>
        <v>-9.9999999999994316E-2</v>
      </c>
    </row>
    <row r="249" spans="1:44" x14ac:dyDescent="0.2">
      <c r="A249" s="3">
        <v>242</v>
      </c>
      <c r="B249" s="3" t="s">
        <v>264</v>
      </c>
      <c r="C249" s="3" t="s">
        <v>27</v>
      </c>
      <c r="D249" s="3">
        <v>0.3</v>
      </c>
      <c r="E249" s="3" t="s">
        <v>283</v>
      </c>
      <c r="F249" s="4">
        <v>437.7</v>
      </c>
      <c r="G249" s="4">
        <v>267</v>
      </c>
      <c r="H249" s="4">
        <v>170.7</v>
      </c>
      <c r="I249" s="4">
        <v>265.5</v>
      </c>
      <c r="J249" s="4">
        <v>75.5</v>
      </c>
      <c r="K249" s="4">
        <v>20</v>
      </c>
      <c r="L249" s="4">
        <v>0</v>
      </c>
      <c r="M249" s="4">
        <v>30</v>
      </c>
      <c r="N249" s="4">
        <v>28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120.5</v>
      </c>
      <c r="Z249" s="4">
        <v>42.5</v>
      </c>
      <c r="AA249" s="4">
        <v>20</v>
      </c>
      <c r="AB249" s="4">
        <v>0</v>
      </c>
      <c r="AC249" s="4">
        <v>30</v>
      </c>
      <c r="AD249" s="4">
        <v>28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10">
        <f t="shared" si="12"/>
        <v>265.5</v>
      </c>
      <c r="AP249" s="10">
        <f t="shared" si="13"/>
        <v>153.5</v>
      </c>
      <c r="AQ249" s="1">
        <f t="shared" si="14"/>
        <v>419</v>
      </c>
      <c r="AR249" s="1">
        <f t="shared" si="15"/>
        <v>-18.699999999999989</v>
      </c>
    </row>
    <row r="250" spans="1:44" x14ac:dyDescent="0.2">
      <c r="A250" s="3">
        <v>243</v>
      </c>
      <c r="B250" s="3" t="s">
        <v>284</v>
      </c>
      <c r="C250" s="3" t="s">
        <v>27</v>
      </c>
      <c r="D250" s="3">
        <v>1.5</v>
      </c>
      <c r="E250" s="3" t="s">
        <v>283</v>
      </c>
      <c r="F250" s="4">
        <v>2188.5</v>
      </c>
      <c r="G250" s="4">
        <v>1335</v>
      </c>
      <c r="H250" s="4">
        <v>853.5</v>
      </c>
      <c r="I250" s="4">
        <v>1335</v>
      </c>
      <c r="J250" s="4">
        <v>295.5</v>
      </c>
      <c r="K250" s="4">
        <v>38</v>
      </c>
      <c r="L250" s="4">
        <v>0</v>
      </c>
      <c r="M250" s="4">
        <v>257</v>
      </c>
      <c r="N250" s="4">
        <v>28</v>
      </c>
      <c r="O250" s="4">
        <v>216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562</v>
      </c>
      <c r="Z250" s="4">
        <v>48</v>
      </c>
      <c r="AA250" s="4">
        <v>38</v>
      </c>
      <c r="AB250" s="4">
        <v>0</v>
      </c>
      <c r="AC250" s="4">
        <v>232</v>
      </c>
      <c r="AD250" s="4">
        <v>28</v>
      </c>
      <c r="AE250" s="4">
        <v>216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10">
        <f t="shared" si="12"/>
        <v>1335</v>
      </c>
      <c r="AP250" s="10">
        <f t="shared" si="13"/>
        <v>834.5</v>
      </c>
      <c r="AQ250" s="1">
        <f t="shared" si="14"/>
        <v>2169.5</v>
      </c>
      <c r="AR250" s="1">
        <f t="shared" si="15"/>
        <v>-19</v>
      </c>
    </row>
    <row r="251" spans="1:44" x14ac:dyDescent="0.2">
      <c r="A251" s="3">
        <v>244</v>
      </c>
      <c r="B251" s="3" t="s">
        <v>285</v>
      </c>
      <c r="C251" s="3" t="s">
        <v>32</v>
      </c>
      <c r="D251" s="3">
        <v>0.25</v>
      </c>
      <c r="E251" s="3" t="s">
        <v>283</v>
      </c>
      <c r="F251" s="4">
        <v>364.75</v>
      </c>
      <c r="G251" s="4">
        <v>222.5</v>
      </c>
      <c r="H251" s="4">
        <v>142.25</v>
      </c>
      <c r="I251" s="4">
        <v>222</v>
      </c>
      <c r="J251" s="4">
        <v>55.5</v>
      </c>
      <c r="K251" s="4">
        <v>16</v>
      </c>
      <c r="L251" s="4">
        <v>0</v>
      </c>
      <c r="M251" s="4">
        <v>0</v>
      </c>
      <c r="N251" s="4">
        <v>28</v>
      </c>
      <c r="O251" s="4">
        <v>40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139.5</v>
      </c>
      <c r="Z251" s="4">
        <v>55.5</v>
      </c>
      <c r="AA251" s="4">
        <v>16</v>
      </c>
      <c r="AB251" s="4">
        <v>0</v>
      </c>
      <c r="AC251" s="4">
        <v>0</v>
      </c>
      <c r="AD251" s="4">
        <v>28</v>
      </c>
      <c r="AE251" s="4">
        <v>40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10">
        <f t="shared" si="12"/>
        <v>222</v>
      </c>
      <c r="AP251" s="10">
        <f t="shared" si="13"/>
        <v>139.5</v>
      </c>
      <c r="AQ251" s="1">
        <f t="shared" si="14"/>
        <v>361.5</v>
      </c>
      <c r="AR251" s="1">
        <f t="shared" si="15"/>
        <v>-3.25</v>
      </c>
    </row>
    <row r="252" spans="1:44" x14ac:dyDescent="0.2">
      <c r="A252" s="3">
        <v>245</v>
      </c>
      <c r="B252" s="3" t="s">
        <v>286</v>
      </c>
      <c r="C252" s="3" t="s">
        <v>36</v>
      </c>
      <c r="D252" s="3">
        <v>1</v>
      </c>
      <c r="E252" s="3" t="s">
        <v>283</v>
      </c>
      <c r="F252" s="4">
        <v>1459</v>
      </c>
      <c r="G252" s="4">
        <v>890</v>
      </c>
      <c r="H252" s="4">
        <v>569</v>
      </c>
      <c r="I252" s="4">
        <v>890</v>
      </c>
      <c r="J252" s="4">
        <v>193</v>
      </c>
      <c r="K252" s="4">
        <v>28</v>
      </c>
      <c r="L252" s="4">
        <v>0</v>
      </c>
      <c r="M252" s="4">
        <v>95</v>
      </c>
      <c r="N252" s="4">
        <v>68</v>
      </c>
      <c r="O252" s="4">
        <v>144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335</v>
      </c>
      <c r="Z252" s="4">
        <v>0</v>
      </c>
      <c r="AA252" s="4">
        <v>28</v>
      </c>
      <c r="AB252" s="4">
        <v>0</v>
      </c>
      <c r="AC252" s="4">
        <v>95</v>
      </c>
      <c r="AD252" s="4">
        <v>68</v>
      </c>
      <c r="AE252" s="4">
        <v>144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10">
        <f t="shared" si="12"/>
        <v>890</v>
      </c>
      <c r="AP252" s="10">
        <f t="shared" si="13"/>
        <v>528</v>
      </c>
      <c r="AQ252" s="1">
        <f t="shared" si="14"/>
        <v>1418</v>
      </c>
      <c r="AR252" s="1">
        <f t="shared" si="15"/>
        <v>-41</v>
      </c>
    </row>
    <row r="253" spans="1:44" x14ac:dyDescent="0.2">
      <c r="A253" s="3">
        <v>246</v>
      </c>
      <c r="B253" s="3" t="s">
        <v>287</v>
      </c>
      <c r="C253" s="3" t="s">
        <v>32</v>
      </c>
      <c r="D253" s="3">
        <v>0.25</v>
      </c>
      <c r="E253" s="3" t="s">
        <v>283</v>
      </c>
      <c r="F253" s="4">
        <v>364.75</v>
      </c>
      <c r="G253" s="4">
        <v>222.5</v>
      </c>
      <c r="H253" s="4">
        <v>142.25</v>
      </c>
      <c r="I253" s="4">
        <v>222</v>
      </c>
      <c r="J253" s="4">
        <v>44</v>
      </c>
      <c r="K253" s="4">
        <v>0</v>
      </c>
      <c r="L253" s="4">
        <v>0</v>
      </c>
      <c r="M253" s="4">
        <v>52</v>
      </c>
      <c r="N253" s="4">
        <v>28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80</v>
      </c>
      <c r="Z253" s="4">
        <v>0</v>
      </c>
      <c r="AA253" s="4">
        <v>0</v>
      </c>
      <c r="AB253" s="4">
        <v>0</v>
      </c>
      <c r="AC253" s="4">
        <v>52</v>
      </c>
      <c r="AD253" s="4">
        <v>28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10">
        <f t="shared" si="12"/>
        <v>222</v>
      </c>
      <c r="AP253" s="10">
        <f t="shared" si="13"/>
        <v>124</v>
      </c>
      <c r="AQ253" s="1">
        <f t="shared" si="14"/>
        <v>346</v>
      </c>
      <c r="AR253" s="1">
        <f t="shared" si="15"/>
        <v>-18.75</v>
      </c>
    </row>
    <row r="254" spans="1:44" x14ac:dyDescent="0.2">
      <c r="A254" s="3">
        <v>247</v>
      </c>
      <c r="B254" s="3" t="s">
        <v>288</v>
      </c>
      <c r="C254" s="3" t="s">
        <v>27</v>
      </c>
      <c r="D254" s="3">
        <v>0.5</v>
      </c>
      <c r="E254" s="3" t="s">
        <v>283</v>
      </c>
      <c r="F254" s="4">
        <v>729.5</v>
      </c>
      <c r="G254" s="4">
        <v>445</v>
      </c>
      <c r="H254" s="4">
        <v>284.5</v>
      </c>
      <c r="I254" s="4">
        <v>445</v>
      </c>
      <c r="J254" s="4">
        <v>101.5</v>
      </c>
      <c r="K254" s="4">
        <v>53</v>
      </c>
      <c r="L254" s="4">
        <v>0</v>
      </c>
      <c r="M254" s="4">
        <v>25</v>
      </c>
      <c r="N254" s="4">
        <v>28</v>
      </c>
      <c r="O254" s="4">
        <v>60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186</v>
      </c>
      <c r="Z254" s="4">
        <v>20</v>
      </c>
      <c r="AA254" s="4">
        <v>53</v>
      </c>
      <c r="AB254" s="4">
        <v>0</v>
      </c>
      <c r="AC254" s="4">
        <v>25</v>
      </c>
      <c r="AD254" s="4">
        <v>28</v>
      </c>
      <c r="AE254" s="4">
        <v>60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10">
        <f t="shared" si="12"/>
        <v>445</v>
      </c>
      <c r="AP254" s="10">
        <f t="shared" si="13"/>
        <v>267.5</v>
      </c>
      <c r="AQ254" s="1">
        <f t="shared" si="14"/>
        <v>712.5</v>
      </c>
      <c r="AR254" s="1">
        <f t="shared" si="15"/>
        <v>-17</v>
      </c>
    </row>
    <row r="255" spans="1:44" x14ac:dyDescent="0.2">
      <c r="A255" s="3">
        <v>248</v>
      </c>
      <c r="B255" s="3" t="s">
        <v>269</v>
      </c>
      <c r="C255" s="3" t="s">
        <v>27</v>
      </c>
      <c r="D255" s="3">
        <v>0.5</v>
      </c>
      <c r="E255" s="3" t="s">
        <v>283</v>
      </c>
      <c r="F255" s="4">
        <v>729.5</v>
      </c>
      <c r="G255" s="4">
        <v>445</v>
      </c>
      <c r="H255" s="4">
        <v>284.5</v>
      </c>
      <c r="I255" s="4">
        <v>444.04</v>
      </c>
      <c r="J255" s="4">
        <v>93</v>
      </c>
      <c r="K255" s="4">
        <v>20</v>
      </c>
      <c r="L255" s="4">
        <v>0</v>
      </c>
      <c r="M255" s="4">
        <v>50</v>
      </c>
      <c r="N255" s="4">
        <v>28</v>
      </c>
      <c r="O255" s="4">
        <v>72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191</v>
      </c>
      <c r="Z255" s="4">
        <v>21</v>
      </c>
      <c r="AA255" s="4">
        <v>20</v>
      </c>
      <c r="AB255" s="4">
        <v>0</v>
      </c>
      <c r="AC255" s="4">
        <v>50</v>
      </c>
      <c r="AD255" s="4">
        <v>28</v>
      </c>
      <c r="AE255" s="4">
        <v>72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10">
        <f t="shared" si="12"/>
        <v>444.04</v>
      </c>
      <c r="AP255" s="10">
        <f t="shared" si="13"/>
        <v>263</v>
      </c>
      <c r="AQ255" s="1">
        <f t="shared" si="14"/>
        <v>707.04</v>
      </c>
      <c r="AR255" s="1">
        <f t="shared" si="15"/>
        <v>-22.460000000000036</v>
      </c>
    </row>
    <row r="256" spans="1:44" x14ac:dyDescent="0.2">
      <c r="A256" s="3">
        <v>249</v>
      </c>
      <c r="B256" s="3" t="s">
        <v>289</v>
      </c>
      <c r="C256" s="3" t="s">
        <v>32</v>
      </c>
      <c r="D256" s="3">
        <v>0.5</v>
      </c>
      <c r="E256" s="3" t="s">
        <v>283</v>
      </c>
      <c r="F256" s="4">
        <v>729.5</v>
      </c>
      <c r="G256" s="4">
        <v>445</v>
      </c>
      <c r="H256" s="4">
        <v>284.5</v>
      </c>
      <c r="I256" s="4">
        <v>445</v>
      </c>
      <c r="J256" s="4">
        <v>86</v>
      </c>
      <c r="K256" s="4">
        <v>32</v>
      </c>
      <c r="L256" s="4">
        <v>0</v>
      </c>
      <c r="M256" s="4">
        <v>82</v>
      </c>
      <c r="N256" s="4">
        <v>28</v>
      </c>
      <c r="O256" s="4">
        <v>30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172</v>
      </c>
      <c r="Z256" s="4">
        <v>0</v>
      </c>
      <c r="AA256" s="4">
        <v>32</v>
      </c>
      <c r="AB256" s="4">
        <v>0</v>
      </c>
      <c r="AC256" s="4">
        <v>82</v>
      </c>
      <c r="AD256" s="4">
        <v>28</v>
      </c>
      <c r="AE256" s="4">
        <v>30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10">
        <f t="shared" si="12"/>
        <v>445</v>
      </c>
      <c r="AP256" s="10">
        <f t="shared" si="13"/>
        <v>258</v>
      </c>
      <c r="AQ256" s="1">
        <f t="shared" si="14"/>
        <v>703</v>
      </c>
      <c r="AR256" s="1">
        <f t="shared" si="15"/>
        <v>-26.5</v>
      </c>
    </row>
    <row r="257" spans="1:44" x14ac:dyDescent="0.2">
      <c r="A257" s="3">
        <v>250</v>
      </c>
      <c r="B257" s="3" t="s">
        <v>290</v>
      </c>
      <c r="C257" s="3" t="s">
        <v>27</v>
      </c>
      <c r="D257" s="3">
        <v>1.5</v>
      </c>
      <c r="E257" s="3" t="s">
        <v>283</v>
      </c>
      <c r="F257" s="4">
        <v>2188.5</v>
      </c>
      <c r="G257" s="4">
        <v>1335</v>
      </c>
      <c r="H257" s="4">
        <v>853.5</v>
      </c>
      <c r="I257" s="4">
        <v>1335</v>
      </c>
      <c r="J257" s="4">
        <v>293.5</v>
      </c>
      <c r="K257" s="4">
        <v>50</v>
      </c>
      <c r="L257" s="4">
        <v>0</v>
      </c>
      <c r="M257" s="4">
        <v>536</v>
      </c>
      <c r="N257" s="4">
        <v>20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623</v>
      </c>
      <c r="Z257" s="4">
        <v>44</v>
      </c>
      <c r="AA257" s="4">
        <v>48</v>
      </c>
      <c r="AB257" s="4">
        <v>0</v>
      </c>
      <c r="AC257" s="4">
        <v>511</v>
      </c>
      <c r="AD257" s="4">
        <v>20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10">
        <f t="shared" si="12"/>
        <v>1335</v>
      </c>
      <c r="AP257" s="10">
        <f t="shared" si="13"/>
        <v>899.5</v>
      </c>
      <c r="AQ257" s="1">
        <f t="shared" si="14"/>
        <v>2234.5</v>
      </c>
      <c r="AR257" s="1">
        <f t="shared" si="15"/>
        <v>46</v>
      </c>
    </row>
    <row r="258" spans="1:44" x14ac:dyDescent="0.2">
      <c r="A258" s="3">
        <v>251</v>
      </c>
      <c r="B258" s="3" t="s">
        <v>291</v>
      </c>
      <c r="C258" s="3" t="s">
        <v>27</v>
      </c>
      <c r="D258" s="3">
        <v>1.5</v>
      </c>
      <c r="E258" s="3" t="s">
        <v>283</v>
      </c>
      <c r="F258" s="4">
        <v>2188.5</v>
      </c>
      <c r="G258" s="4">
        <v>1335</v>
      </c>
      <c r="H258" s="4">
        <v>853.5</v>
      </c>
      <c r="I258" s="4">
        <v>1009.42</v>
      </c>
      <c r="J258" s="4">
        <v>219</v>
      </c>
      <c r="K258" s="4">
        <v>20</v>
      </c>
      <c r="L258" s="4">
        <v>0</v>
      </c>
      <c r="M258" s="4">
        <v>100.5</v>
      </c>
      <c r="N258" s="4">
        <v>28</v>
      </c>
      <c r="O258" s="4">
        <v>199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566.5</v>
      </c>
      <c r="Z258" s="4">
        <v>219</v>
      </c>
      <c r="AA258" s="4">
        <v>20</v>
      </c>
      <c r="AB258" s="4">
        <v>0</v>
      </c>
      <c r="AC258" s="4">
        <v>100.5</v>
      </c>
      <c r="AD258" s="4">
        <v>28</v>
      </c>
      <c r="AE258" s="4">
        <v>199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10">
        <f t="shared" si="12"/>
        <v>1009.42</v>
      </c>
      <c r="AP258" s="10">
        <f t="shared" si="13"/>
        <v>566.5</v>
      </c>
      <c r="AQ258" s="1">
        <f t="shared" si="14"/>
        <v>1575.92</v>
      </c>
      <c r="AR258" s="1">
        <f t="shared" si="15"/>
        <v>-612.57999999999993</v>
      </c>
    </row>
    <row r="259" spans="1:44" x14ac:dyDescent="0.2">
      <c r="A259" s="3">
        <v>252</v>
      </c>
      <c r="B259" s="3" t="s">
        <v>292</v>
      </c>
      <c r="C259" s="3" t="s">
        <v>32</v>
      </c>
      <c r="D259" s="3">
        <v>1</v>
      </c>
      <c r="E259" s="3" t="s">
        <v>283</v>
      </c>
      <c r="F259" s="4">
        <v>1459</v>
      </c>
      <c r="G259" s="4">
        <v>890</v>
      </c>
      <c r="H259" s="4">
        <v>569</v>
      </c>
      <c r="I259" s="4">
        <v>890</v>
      </c>
      <c r="J259" s="4">
        <v>199</v>
      </c>
      <c r="K259" s="4">
        <v>30</v>
      </c>
      <c r="L259" s="4">
        <v>0</v>
      </c>
      <c r="M259" s="4">
        <v>35</v>
      </c>
      <c r="N259" s="4">
        <v>218</v>
      </c>
      <c r="O259" s="4">
        <v>55.6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332</v>
      </c>
      <c r="Z259" s="4">
        <v>0</v>
      </c>
      <c r="AA259" s="4">
        <v>30</v>
      </c>
      <c r="AB259" s="4">
        <v>0</v>
      </c>
      <c r="AC259" s="4">
        <v>30</v>
      </c>
      <c r="AD259" s="4">
        <v>218</v>
      </c>
      <c r="AE259" s="4">
        <v>54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10">
        <f t="shared" si="12"/>
        <v>890</v>
      </c>
      <c r="AP259" s="10">
        <f t="shared" si="13"/>
        <v>537.6</v>
      </c>
      <c r="AQ259" s="1">
        <f t="shared" si="14"/>
        <v>1427.6</v>
      </c>
      <c r="AR259" s="1">
        <f t="shared" si="15"/>
        <v>-31.400000000000091</v>
      </c>
    </row>
    <row r="260" spans="1:44" x14ac:dyDescent="0.2">
      <c r="A260" s="3">
        <v>253</v>
      </c>
      <c r="B260" s="3" t="s">
        <v>293</v>
      </c>
      <c r="C260" s="3" t="s">
        <v>27</v>
      </c>
      <c r="D260" s="3">
        <v>0.5</v>
      </c>
      <c r="E260" s="3" t="s">
        <v>283</v>
      </c>
      <c r="F260" s="4">
        <v>729.5</v>
      </c>
      <c r="G260" s="4">
        <v>445</v>
      </c>
      <c r="H260" s="4">
        <v>284.5</v>
      </c>
      <c r="I260" s="4">
        <v>444</v>
      </c>
      <c r="J260" s="4">
        <v>110</v>
      </c>
      <c r="K260" s="4">
        <v>20</v>
      </c>
      <c r="L260" s="4">
        <v>0</v>
      </c>
      <c r="M260" s="4">
        <v>50</v>
      </c>
      <c r="N260" s="4">
        <v>28</v>
      </c>
      <c r="O260" s="4">
        <v>72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180</v>
      </c>
      <c r="Z260" s="4">
        <v>10</v>
      </c>
      <c r="AA260" s="4">
        <v>20</v>
      </c>
      <c r="AB260" s="4">
        <v>0</v>
      </c>
      <c r="AC260" s="4">
        <v>50</v>
      </c>
      <c r="AD260" s="4">
        <v>28</v>
      </c>
      <c r="AE260" s="4">
        <v>72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10">
        <f t="shared" si="12"/>
        <v>444</v>
      </c>
      <c r="AP260" s="10">
        <f t="shared" si="13"/>
        <v>280</v>
      </c>
      <c r="AQ260" s="1">
        <f t="shared" si="14"/>
        <v>724</v>
      </c>
      <c r="AR260" s="1">
        <f t="shared" si="15"/>
        <v>-5.5</v>
      </c>
    </row>
    <row r="261" spans="1:44" x14ac:dyDescent="0.2">
      <c r="A261" s="3">
        <v>254</v>
      </c>
      <c r="B261" s="3" t="s">
        <v>294</v>
      </c>
      <c r="C261" s="3" t="s">
        <v>27</v>
      </c>
      <c r="D261" s="3">
        <v>0.5</v>
      </c>
      <c r="E261" s="3" t="s">
        <v>283</v>
      </c>
      <c r="F261" s="4">
        <v>729.5</v>
      </c>
      <c r="G261" s="4">
        <v>445</v>
      </c>
      <c r="H261" s="4">
        <v>284.5</v>
      </c>
      <c r="I261" s="4">
        <v>445</v>
      </c>
      <c r="J261" s="4">
        <v>111</v>
      </c>
      <c r="K261" s="4">
        <v>20</v>
      </c>
      <c r="L261" s="4">
        <v>0</v>
      </c>
      <c r="M261" s="4">
        <v>15</v>
      </c>
      <c r="N261" s="4">
        <v>28</v>
      </c>
      <c r="O261" s="4">
        <v>108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191</v>
      </c>
      <c r="Z261" s="4">
        <v>20</v>
      </c>
      <c r="AA261" s="4">
        <v>20</v>
      </c>
      <c r="AB261" s="4">
        <v>0</v>
      </c>
      <c r="AC261" s="4">
        <v>15</v>
      </c>
      <c r="AD261" s="4">
        <v>28</v>
      </c>
      <c r="AE261" s="4">
        <v>108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10">
        <f t="shared" si="12"/>
        <v>445</v>
      </c>
      <c r="AP261" s="10">
        <f t="shared" si="13"/>
        <v>282</v>
      </c>
      <c r="AQ261" s="1">
        <f t="shared" si="14"/>
        <v>727</v>
      </c>
      <c r="AR261" s="1">
        <f t="shared" si="15"/>
        <v>-2.5</v>
      </c>
    </row>
    <row r="262" spans="1:44" x14ac:dyDescent="0.2">
      <c r="A262" s="3">
        <v>255</v>
      </c>
      <c r="B262" s="3" t="s">
        <v>295</v>
      </c>
      <c r="C262" s="3" t="s">
        <v>27</v>
      </c>
      <c r="D262" s="3">
        <v>0.5</v>
      </c>
      <c r="E262" s="3" t="s">
        <v>283</v>
      </c>
      <c r="F262" s="4">
        <v>729.5</v>
      </c>
      <c r="G262" s="4">
        <v>445</v>
      </c>
      <c r="H262" s="4">
        <v>284.5</v>
      </c>
      <c r="I262" s="4">
        <v>363</v>
      </c>
      <c r="J262" s="4">
        <v>80</v>
      </c>
      <c r="K262" s="4">
        <v>66</v>
      </c>
      <c r="L262" s="4">
        <v>0</v>
      </c>
      <c r="M262" s="4">
        <v>100</v>
      </c>
      <c r="N262" s="4">
        <v>28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194</v>
      </c>
      <c r="Z262" s="4">
        <v>0</v>
      </c>
      <c r="AA262" s="4">
        <v>66</v>
      </c>
      <c r="AB262" s="4">
        <v>0</v>
      </c>
      <c r="AC262" s="4">
        <v>100</v>
      </c>
      <c r="AD262" s="4">
        <v>28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10">
        <f t="shared" si="12"/>
        <v>363</v>
      </c>
      <c r="AP262" s="10">
        <f t="shared" si="13"/>
        <v>274</v>
      </c>
      <c r="AQ262" s="1">
        <f t="shared" si="14"/>
        <v>637</v>
      </c>
      <c r="AR262" s="1">
        <f t="shared" si="15"/>
        <v>-92.5</v>
      </c>
    </row>
    <row r="263" spans="1:44" x14ac:dyDescent="0.2">
      <c r="A263" s="3">
        <v>256</v>
      </c>
      <c r="B263" s="3" t="s">
        <v>296</v>
      </c>
      <c r="C263" s="3" t="s">
        <v>27</v>
      </c>
      <c r="D263" s="3">
        <v>0.5</v>
      </c>
      <c r="E263" s="3" t="s">
        <v>283</v>
      </c>
      <c r="F263" s="4">
        <v>729.5</v>
      </c>
      <c r="G263" s="4">
        <v>445</v>
      </c>
      <c r="H263" s="4">
        <v>284.5</v>
      </c>
      <c r="I263" s="4">
        <v>445</v>
      </c>
      <c r="J263" s="4">
        <v>109</v>
      </c>
      <c r="K263" s="4">
        <v>20</v>
      </c>
      <c r="L263" s="4">
        <v>0</v>
      </c>
      <c r="M263" s="4">
        <v>50</v>
      </c>
      <c r="N263" s="4">
        <v>28</v>
      </c>
      <c r="O263" s="4">
        <v>72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198</v>
      </c>
      <c r="Z263" s="4">
        <v>28</v>
      </c>
      <c r="AA263" s="4">
        <v>20</v>
      </c>
      <c r="AB263" s="4">
        <v>0</v>
      </c>
      <c r="AC263" s="4">
        <v>50</v>
      </c>
      <c r="AD263" s="4">
        <v>28</v>
      </c>
      <c r="AE263" s="4">
        <v>72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10">
        <f t="shared" si="12"/>
        <v>445</v>
      </c>
      <c r="AP263" s="10">
        <f t="shared" si="13"/>
        <v>279</v>
      </c>
      <c r="AQ263" s="1">
        <f t="shared" si="14"/>
        <v>724</v>
      </c>
      <c r="AR263" s="1">
        <f t="shared" si="15"/>
        <v>-5.5</v>
      </c>
    </row>
    <row r="264" spans="1:44" x14ac:dyDescent="0.2">
      <c r="A264" s="3">
        <v>257</v>
      </c>
      <c r="B264" s="3" t="s">
        <v>297</v>
      </c>
      <c r="C264" s="3" t="s">
        <v>27</v>
      </c>
      <c r="D264" s="3">
        <v>1.5</v>
      </c>
      <c r="E264" s="3" t="s">
        <v>283</v>
      </c>
      <c r="F264" s="4">
        <v>2188.5</v>
      </c>
      <c r="G264" s="4">
        <v>1335</v>
      </c>
      <c r="H264" s="4">
        <v>853.5</v>
      </c>
      <c r="I264" s="4">
        <v>1021.03</v>
      </c>
      <c r="J264" s="4">
        <v>217</v>
      </c>
      <c r="K264" s="4">
        <v>72</v>
      </c>
      <c r="L264" s="4">
        <v>0</v>
      </c>
      <c r="M264" s="4">
        <v>113</v>
      </c>
      <c r="N264" s="4">
        <v>28</v>
      </c>
      <c r="O264" s="4">
        <v>216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646</v>
      </c>
      <c r="Z264" s="4">
        <v>217</v>
      </c>
      <c r="AA264" s="4">
        <v>72</v>
      </c>
      <c r="AB264" s="4">
        <v>0</v>
      </c>
      <c r="AC264" s="4">
        <v>113</v>
      </c>
      <c r="AD264" s="4">
        <v>28</v>
      </c>
      <c r="AE264" s="4">
        <v>216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10">
        <f t="shared" si="12"/>
        <v>1021.03</v>
      </c>
      <c r="AP264" s="10">
        <f t="shared" si="13"/>
        <v>646</v>
      </c>
      <c r="AQ264" s="1">
        <f t="shared" si="14"/>
        <v>1667.03</v>
      </c>
      <c r="AR264" s="1">
        <f t="shared" si="15"/>
        <v>-521.47</v>
      </c>
    </row>
    <row r="265" spans="1:44" x14ac:dyDescent="0.2">
      <c r="A265" s="3">
        <v>258</v>
      </c>
      <c r="B265" s="3" t="s">
        <v>298</v>
      </c>
      <c r="C265" s="3" t="s">
        <v>32</v>
      </c>
      <c r="D265" s="3">
        <v>1</v>
      </c>
      <c r="E265" s="3" t="s">
        <v>283</v>
      </c>
      <c r="F265" s="4">
        <v>1459</v>
      </c>
      <c r="G265" s="4">
        <v>890</v>
      </c>
      <c r="H265" s="4">
        <v>569</v>
      </c>
      <c r="I265" s="4">
        <v>890</v>
      </c>
      <c r="J265" s="4">
        <v>200.5</v>
      </c>
      <c r="K265" s="4">
        <v>78.8</v>
      </c>
      <c r="L265" s="4">
        <v>0</v>
      </c>
      <c r="M265" s="4">
        <v>90</v>
      </c>
      <c r="N265" s="4">
        <v>108</v>
      </c>
      <c r="O265" s="4">
        <v>54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531.29999999999995</v>
      </c>
      <c r="Z265" s="4">
        <v>200.5</v>
      </c>
      <c r="AA265" s="4">
        <v>78.8</v>
      </c>
      <c r="AB265" s="4">
        <v>0</v>
      </c>
      <c r="AC265" s="4">
        <v>90</v>
      </c>
      <c r="AD265" s="4">
        <v>108</v>
      </c>
      <c r="AE265" s="4">
        <v>54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10">
        <f t="shared" si="12"/>
        <v>890</v>
      </c>
      <c r="AP265" s="10">
        <f t="shared" si="13"/>
        <v>531.29999999999995</v>
      </c>
      <c r="AQ265" s="1">
        <f t="shared" si="14"/>
        <v>1421.3</v>
      </c>
      <c r="AR265" s="1">
        <f t="shared" si="15"/>
        <v>-37.700000000000045</v>
      </c>
    </row>
    <row r="266" spans="1:44" x14ac:dyDescent="0.2">
      <c r="A266" s="3">
        <v>259</v>
      </c>
      <c r="B266" s="3" t="s">
        <v>299</v>
      </c>
      <c r="C266" s="3" t="s">
        <v>27</v>
      </c>
      <c r="D266" s="3">
        <v>0.25</v>
      </c>
      <c r="E266" s="3" t="s">
        <v>283</v>
      </c>
      <c r="F266" s="4">
        <v>364.75</v>
      </c>
      <c r="G266" s="4">
        <v>222.5</v>
      </c>
      <c r="H266" s="4">
        <v>142.25</v>
      </c>
      <c r="I266" s="4">
        <v>221</v>
      </c>
      <c r="J266" s="4">
        <v>54</v>
      </c>
      <c r="K266" s="4">
        <v>71</v>
      </c>
      <c r="L266" s="4">
        <v>0</v>
      </c>
      <c r="M266" s="4">
        <v>2</v>
      </c>
      <c r="N266" s="4">
        <v>28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81</v>
      </c>
      <c r="Z266" s="4">
        <v>0</v>
      </c>
      <c r="AA266" s="4">
        <v>71</v>
      </c>
      <c r="AB266" s="4">
        <v>0</v>
      </c>
      <c r="AC266" s="4">
        <v>2</v>
      </c>
      <c r="AD266" s="4">
        <v>8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10">
        <f t="shared" ref="AO266:AO329" si="16">I266</f>
        <v>221</v>
      </c>
      <c r="AP266" s="10">
        <f t="shared" ref="AP266:AP329" si="17">SUM(J266:P266)</f>
        <v>155</v>
      </c>
      <c r="AQ266" s="1">
        <f t="shared" ref="AQ266:AQ329" si="18">AO266+AP266</f>
        <v>376</v>
      </c>
      <c r="AR266" s="1">
        <f t="shared" ref="AR266:AR329" si="19">AQ266-F266</f>
        <v>11.25</v>
      </c>
    </row>
    <row r="267" spans="1:44" x14ac:dyDescent="0.2">
      <c r="A267" s="3">
        <v>260</v>
      </c>
      <c r="B267" s="3" t="s">
        <v>300</v>
      </c>
      <c r="C267" s="3" t="s">
        <v>27</v>
      </c>
      <c r="D267" s="3">
        <v>0.3</v>
      </c>
      <c r="E267" s="3" t="s">
        <v>283</v>
      </c>
      <c r="F267" s="4">
        <v>437.7</v>
      </c>
      <c r="G267" s="4">
        <v>267</v>
      </c>
      <c r="H267" s="4">
        <v>170.7</v>
      </c>
      <c r="I267" s="4">
        <v>267</v>
      </c>
      <c r="J267" s="4">
        <v>60</v>
      </c>
      <c r="K267" s="4">
        <v>8</v>
      </c>
      <c r="L267" s="4">
        <v>0</v>
      </c>
      <c r="M267" s="4">
        <v>0</v>
      </c>
      <c r="N267" s="4">
        <v>28</v>
      </c>
      <c r="O267" s="4">
        <v>72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108</v>
      </c>
      <c r="Z267" s="4">
        <v>0</v>
      </c>
      <c r="AA267" s="4">
        <v>8</v>
      </c>
      <c r="AB267" s="4">
        <v>0</v>
      </c>
      <c r="AC267" s="4">
        <v>0</v>
      </c>
      <c r="AD267" s="4">
        <v>28</v>
      </c>
      <c r="AE267" s="4">
        <v>72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10">
        <f t="shared" si="16"/>
        <v>267</v>
      </c>
      <c r="AP267" s="10">
        <f t="shared" si="17"/>
        <v>168</v>
      </c>
      <c r="AQ267" s="1">
        <f t="shared" si="18"/>
        <v>435</v>
      </c>
      <c r="AR267" s="1">
        <f t="shared" si="19"/>
        <v>-2.6999999999999886</v>
      </c>
    </row>
    <row r="268" spans="1:44" x14ac:dyDescent="0.2">
      <c r="A268" s="3">
        <v>261</v>
      </c>
      <c r="B268" s="3" t="s">
        <v>301</v>
      </c>
      <c r="C268" s="3" t="s">
        <v>27</v>
      </c>
      <c r="D268" s="3">
        <v>1.5</v>
      </c>
      <c r="E268" s="3" t="s">
        <v>283</v>
      </c>
      <c r="F268" s="4">
        <v>2188.5</v>
      </c>
      <c r="G268" s="4">
        <v>1335</v>
      </c>
      <c r="H268" s="4">
        <v>853.5</v>
      </c>
      <c r="I268" s="4">
        <v>1333</v>
      </c>
      <c r="J268" s="4">
        <v>233.5</v>
      </c>
      <c r="K268" s="4">
        <v>147</v>
      </c>
      <c r="L268" s="4">
        <v>0</v>
      </c>
      <c r="M268" s="4">
        <v>97</v>
      </c>
      <c r="N268" s="4">
        <v>378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670</v>
      </c>
      <c r="Z268" s="4">
        <v>48</v>
      </c>
      <c r="AA268" s="4">
        <v>147</v>
      </c>
      <c r="AB268" s="4">
        <v>0</v>
      </c>
      <c r="AC268" s="4">
        <v>97</v>
      </c>
      <c r="AD268" s="4">
        <v>378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10">
        <f t="shared" si="16"/>
        <v>1333</v>
      </c>
      <c r="AP268" s="10">
        <f t="shared" si="17"/>
        <v>855.5</v>
      </c>
      <c r="AQ268" s="1">
        <f t="shared" si="18"/>
        <v>2188.5</v>
      </c>
      <c r="AR268" s="1">
        <f t="shared" si="19"/>
        <v>0</v>
      </c>
    </row>
    <row r="269" spans="1:44" x14ac:dyDescent="0.2">
      <c r="A269" s="3">
        <v>262</v>
      </c>
      <c r="B269" s="3" t="s">
        <v>302</v>
      </c>
      <c r="C269" s="3" t="s">
        <v>48</v>
      </c>
      <c r="D269" s="3">
        <v>1.4</v>
      </c>
      <c r="E269" s="3" t="s">
        <v>283</v>
      </c>
      <c r="F269" s="4">
        <v>2042.6</v>
      </c>
      <c r="G269" s="4">
        <v>1246</v>
      </c>
      <c r="H269" s="4">
        <v>796.6</v>
      </c>
      <c r="I269" s="4">
        <v>846</v>
      </c>
      <c r="J269" s="4">
        <v>197.99</v>
      </c>
      <c r="K269" s="4">
        <v>60</v>
      </c>
      <c r="L269" s="4">
        <v>0</v>
      </c>
      <c r="M269" s="4">
        <v>1030</v>
      </c>
      <c r="N269" s="4">
        <v>108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1109.99</v>
      </c>
      <c r="Z269" s="4">
        <v>111.99</v>
      </c>
      <c r="AA269" s="4">
        <v>60</v>
      </c>
      <c r="AB269" s="4">
        <v>0</v>
      </c>
      <c r="AC269" s="4">
        <v>830</v>
      </c>
      <c r="AD269" s="4">
        <v>108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10">
        <f t="shared" si="16"/>
        <v>846</v>
      </c>
      <c r="AP269" s="10">
        <f t="shared" si="17"/>
        <v>1395.99</v>
      </c>
      <c r="AQ269" s="1">
        <f t="shared" si="18"/>
        <v>2241.9899999999998</v>
      </c>
      <c r="AR269" s="1">
        <f t="shared" si="19"/>
        <v>199.38999999999987</v>
      </c>
    </row>
    <row r="270" spans="1:44" x14ac:dyDescent="0.2">
      <c r="A270" s="3">
        <v>263</v>
      </c>
      <c r="B270" s="3" t="s">
        <v>303</v>
      </c>
      <c r="C270" s="3" t="s">
        <v>27</v>
      </c>
      <c r="D270" s="3">
        <v>1.5</v>
      </c>
      <c r="E270" s="3" t="s">
        <v>283</v>
      </c>
      <c r="F270" s="4">
        <v>2188.5</v>
      </c>
      <c r="G270" s="4">
        <v>1335</v>
      </c>
      <c r="H270" s="4">
        <v>853.5</v>
      </c>
      <c r="I270" s="4">
        <v>967</v>
      </c>
      <c r="J270" s="4">
        <v>333</v>
      </c>
      <c r="K270" s="4">
        <v>8</v>
      </c>
      <c r="L270" s="4">
        <v>0</v>
      </c>
      <c r="M270" s="4">
        <v>800</v>
      </c>
      <c r="N270" s="4">
        <v>28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1154.5</v>
      </c>
      <c r="Z270" s="4">
        <v>318.5</v>
      </c>
      <c r="AA270" s="4">
        <v>8</v>
      </c>
      <c r="AB270" s="4">
        <v>0</v>
      </c>
      <c r="AC270" s="4">
        <v>800</v>
      </c>
      <c r="AD270" s="4">
        <v>28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10">
        <f t="shared" si="16"/>
        <v>967</v>
      </c>
      <c r="AP270" s="10">
        <f t="shared" si="17"/>
        <v>1169</v>
      </c>
      <c r="AQ270" s="1">
        <f t="shared" si="18"/>
        <v>2136</v>
      </c>
      <c r="AR270" s="1">
        <f t="shared" si="19"/>
        <v>-52.5</v>
      </c>
    </row>
    <row r="271" spans="1:44" x14ac:dyDescent="0.2">
      <c r="A271" s="3">
        <v>264</v>
      </c>
      <c r="B271" s="3" t="s">
        <v>304</v>
      </c>
      <c r="C271" s="3" t="s">
        <v>27</v>
      </c>
      <c r="D271" s="3">
        <v>0.5</v>
      </c>
      <c r="E271" s="3" t="s">
        <v>283</v>
      </c>
      <c r="F271" s="4">
        <v>729.5</v>
      </c>
      <c r="G271" s="4">
        <v>445</v>
      </c>
      <c r="H271" s="4">
        <v>284.5</v>
      </c>
      <c r="I271" s="4">
        <v>445</v>
      </c>
      <c r="J271" s="4">
        <v>149.5</v>
      </c>
      <c r="K271" s="4">
        <v>86.8</v>
      </c>
      <c r="L271" s="4">
        <v>0</v>
      </c>
      <c r="M271" s="4">
        <v>2</v>
      </c>
      <c r="N271" s="4">
        <v>28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192.8</v>
      </c>
      <c r="Z271" s="4">
        <v>76</v>
      </c>
      <c r="AA271" s="4">
        <v>86.8</v>
      </c>
      <c r="AB271" s="4">
        <v>0</v>
      </c>
      <c r="AC271" s="4">
        <v>2</v>
      </c>
      <c r="AD271" s="4">
        <v>28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10">
        <f t="shared" si="16"/>
        <v>445</v>
      </c>
      <c r="AP271" s="10">
        <f t="shared" si="17"/>
        <v>266.3</v>
      </c>
      <c r="AQ271" s="1">
        <f t="shared" si="18"/>
        <v>711.3</v>
      </c>
      <c r="AR271" s="1">
        <f t="shared" si="19"/>
        <v>-18.200000000000045</v>
      </c>
    </row>
    <row r="272" spans="1:44" x14ac:dyDescent="0.2">
      <c r="A272" s="3">
        <v>265</v>
      </c>
      <c r="B272" s="3" t="s">
        <v>305</v>
      </c>
      <c r="C272" s="3" t="s">
        <v>27</v>
      </c>
      <c r="D272" s="3">
        <v>1</v>
      </c>
      <c r="E272" s="3" t="s">
        <v>306</v>
      </c>
      <c r="F272" s="4">
        <v>1459</v>
      </c>
      <c r="G272" s="4">
        <v>890</v>
      </c>
      <c r="H272" s="4">
        <v>569</v>
      </c>
      <c r="I272" s="4">
        <v>860</v>
      </c>
      <c r="J272" s="4">
        <v>335.5</v>
      </c>
      <c r="K272" s="4">
        <v>197</v>
      </c>
      <c r="L272" s="4">
        <v>0</v>
      </c>
      <c r="M272" s="4">
        <v>0</v>
      </c>
      <c r="N272" s="4">
        <v>28</v>
      </c>
      <c r="O272" s="4">
        <v>72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632.5</v>
      </c>
      <c r="Z272" s="4">
        <v>335.5</v>
      </c>
      <c r="AA272" s="4">
        <v>197</v>
      </c>
      <c r="AB272" s="4">
        <v>0</v>
      </c>
      <c r="AC272" s="4">
        <v>0</v>
      </c>
      <c r="AD272" s="4">
        <v>28</v>
      </c>
      <c r="AE272" s="4">
        <v>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10">
        <f t="shared" si="16"/>
        <v>860</v>
      </c>
      <c r="AP272" s="10">
        <f t="shared" si="17"/>
        <v>632.5</v>
      </c>
      <c r="AQ272" s="1">
        <f t="shared" si="18"/>
        <v>1492.5</v>
      </c>
      <c r="AR272" s="1">
        <f t="shared" si="19"/>
        <v>33.5</v>
      </c>
    </row>
    <row r="273" spans="1:44" x14ac:dyDescent="0.2">
      <c r="A273" s="3">
        <v>266</v>
      </c>
      <c r="B273" s="3" t="s">
        <v>307</v>
      </c>
      <c r="C273" s="3" t="s">
        <v>48</v>
      </c>
      <c r="D273" s="3">
        <v>0.1</v>
      </c>
      <c r="E273" s="3" t="s">
        <v>306</v>
      </c>
      <c r="F273" s="4">
        <v>145.9</v>
      </c>
      <c r="G273" s="4">
        <v>89</v>
      </c>
      <c r="H273" s="4">
        <v>56.9</v>
      </c>
      <c r="I273" s="4">
        <v>89</v>
      </c>
      <c r="J273" s="4">
        <v>18.3</v>
      </c>
      <c r="K273" s="4">
        <v>168</v>
      </c>
      <c r="L273" s="4">
        <v>0</v>
      </c>
      <c r="M273" s="4">
        <v>0</v>
      </c>
      <c r="N273" s="4">
        <v>28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209.3</v>
      </c>
      <c r="Z273" s="4">
        <v>18.3</v>
      </c>
      <c r="AA273" s="4">
        <v>163</v>
      </c>
      <c r="AB273" s="4">
        <v>0</v>
      </c>
      <c r="AC273" s="4">
        <v>0</v>
      </c>
      <c r="AD273" s="4">
        <v>28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10">
        <f t="shared" si="16"/>
        <v>89</v>
      </c>
      <c r="AP273" s="10">
        <f t="shared" si="17"/>
        <v>214.3</v>
      </c>
      <c r="AQ273" s="1">
        <f t="shared" si="18"/>
        <v>303.3</v>
      </c>
      <c r="AR273" s="1">
        <f t="shared" si="19"/>
        <v>157.4</v>
      </c>
    </row>
    <row r="274" spans="1:44" x14ac:dyDescent="0.2">
      <c r="A274" s="3">
        <v>267</v>
      </c>
      <c r="B274" s="3" t="s">
        <v>308</v>
      </c>
      <c r="C274" s="3" t="s">
        <v>32</v>
      </c>
      <c r="D274" s="3">
        <v>0.25</v>
      </c>
      <c r="E274" s="3" t="s">
        <v>309</v>
      </c>
      <c r="F274" s="4">
        <v>364.75</v>
      </c>
      <c r="G274" s="4">
        <v>222.5</v>
      </c>
      <c r="H274" s="4">
        <v>142.25</v>
      </c>
      <c r="I274" s="4">
        <v>222</v>
      </c>
      <c r="J274" s="4">
        <v>51.5</v>
      </c>
      <c r="K274" s="4">
        <v>0</v>
      </c>
      <c r="L274" s="4">
        <v>0</v>
      </c>
      <c r="M274" s="4">
        <v>0</v>
      </c>
      <c r="N274" s="4">
        <v>28</v>
      </c>
      <c r="O274" s="4">
        <v>34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62</v>
      </c>
      <c r="Z274" s="4">
        <v>0</v>
      </c>
      <c r="AA274" s="4">
        <v>0</v>
      </c>
      <c r="AB274" s="4">
        <v>0</v>
      </c>
      <c r="AC274" s="4">
        <v>0</v>
      </c>
      <c r="AD274" s="4">
        <v>28</v>
      </c>
      <c r="AE274" s="4">
        <v>34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10">
        <f t="shared" si="16"/>
        <v>222</v>
      </c>
      <c r="AP274" s="10">
        <f t="shared" si="17"/>
        <v>113.5</v>
      </c>
      <c r="AQ274" s="1">
        <f t="shared" si="18"/>
        <v>335.5</v>
      </c>
      <c r="AR274" s="1">
        <f t="shared" si="19"/>
        <v>-29.25</v>
      </c>
    </row>
    <row r="275" spans="1:44" x14ac:dyDescent="0.2">
      <c r="A275" s="3">
        <v>268</v>
      </c>
      <c r="B275" s="3" t="s">
        <v>310</v>
      </c>
      <c r="C275" s="3" t="s">
        <v>27</v>
      </c>
      <c r="D275" s="3">
        <v>0.25</v>
      </c>
      <c r="E275" s="3" t="s">
        <v>309</v>
      </c>
      <c r="F275" s="4">
        <v>364.75</v>
      </c>
      <c r="G275" s="4">
        <v>222.5</v>
      </c>
      <c r="H275" s="4">
        <v>142.25</v>
      </c>
      <c r="I275" s="4">
        <v>135</v>
      </c>
      <c r="J275" s="4">
        <v>31.5</v>
      </c>
      <c r="K275" s="4">
        <v>6</v>
      </c>
      <c r="L275" s="4">
        <v>0</v>
      </c>
      <c r="M275" s="4">
        <v>0</v>
      </c>
      <c r="N275" s="4">
        <v>78</v>
      </c>
      <c r="O275" s="4">
        <v>88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172</v>
      </c>
      <c r="Z275" s="4">
        <v>0</v>
      </c>
      <c r="AA275" s="4">
        <v>6</v>
      </c>
      <c r="AB275" s="4">
        <v>0</v>
      </c>
      <c r="AC275" s="4">
        <v>0</v>
      </c>
      <c r="AD275" s="4">
        <v>78</v>
      </c>
      <c r="AE275" s="4">
        <v>88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10">
        <f t="shared" si="16"/>
        <v>135</v>
      </c>
      <c r="AP275" s="10">
        <f t="shared" si="17"/>
        <v>203.5</v>
      </c>
      <c r="AQ275" s="1">
        <f t="shared" si="18"/>
        <v>338.5</v>
      </c>
      <c r="AR275" s="1">
        <f t="shared" si="19"/>
        <v>-26.25</v>
      </c>
    </row>
    <row r="276" spans="1:44" x14ac:dyDescent="0.2">
      <c r="A276" s="3">
        <v>269</v>
      </c>
      <c r="B276" s="3" t="s">
        <v>311</v>
      </c>
      <c r="C276" s="3" t="s">
        <v>36</v>
      </c>
      <c r="D276" s="3">
        <v>0.25</v>
      </c>
      <c r="E276" s="3" t="s">
        <v>309</v>
      </c>
      <c r="F276" s="4">
        <v>364.75</v>
      </c>
      <c r="G276" s="4">
        <v>222.5</v>
      </c>
      <c r="H276" s="4">
        <v>142.25</v>
      </c>
      <c r="I276" s="4">
        <v>180</v>
      </c>
      <c r="J276" s="4">
        <v>39.5</v>
      </c>
      <c r="K276" s="4">
        <v>0</v>
      </c>
      <c r="L276" s="4">
        <v>0</v>
      </c>
      <c r="M276" s="4">
        <v>0</v>
      </c>
      <c r="N276" s="4">
        <v>28</v>
      </c>
      <c r="O276" s="4">
        <v>140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148</v>
      </c>
      <c r="Z276" s="4">
        <v>0</v>
      </c>
      <c r="AA276" s="4">
        <v>0</v>
      </c>
      <c r="AB276" s="4">
        <v>0</v>
      </c>
      <c r="AC276" s="4">
        <v>0</v>
      </c>
      <c r="AD276" s="4">
        <v>8</v>
      </c>
      <c r="AE276" s="4">
        <v>140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10">
        <f t="shared" si="16"/>
        <v>180</v>
      </c>
      <c r="AP276" s="10">
        <f t="shared" si="17"/>
        <v>207.5</v>
      </c>
      <c r="AQ276" s="1">
        <f t="shared" si="18"/>
        <v>387.5</v>
      </c>
      <c r="AR276" s="1">
        <f t="shared" si="19"/>
        <v>22.75</v>
      </c>
    </row>
    <row r="277" spans="1:44" x14ac:dyDescent="0.2">
      <c r="A277" s="3">
        <v>270</v>
      </c>
      <c r="B277" s="3" t="s">
        <v>299</v>
      </c>
      <c r="C277" s="3" t="s">
        <v>27</v>
      </c>
      <c r="D277" s="3">
        <v>0.2</v>
      </c>
      <c r="E277" s="3" t="s">
        <v>309</v>
      </c>
      <c r="F277" s="4">
        <v>291.8</v>
      </c>
      <c r="G277" s="4">
        <v>178</v>
      </c>
      <c r="H277" s="4">
        <v>113.8</v>
      </c>
      <c r="I277" s="4">
        <v>178</v>
      </c>
      <c r="J277" s="4">
        <v>41.3</v>
      </c>
      <c r="K277" s="4">
        <v>0</v>
      </c>
      <c r="L277" s="4">
        <v>0</v>
      </c>
      <c r="M277" s="4">
        <v>0</v>
      </c>
      <c r="N277" s="4">
        <v>28</v>
      </c>
      <c r="O277" s="4">
        <v>16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44</v>
      </c>
      <c r="Z277" s="4">
        <v>0</v>
      </c>
      <c r="AA277" s="4">
        <v>0</v>
      </c>
      <c r="AB277" s="4">
        <v>0</v>
      </c>
      <c r="AC277" s="4">
        <v>0</v>
      </c>
      <c r="AD277" s="4">
        <v>28</v>
      </c>
      <c r="AE277" s="4">
        <v>16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10">
        <f t="shared" si="16"/>
        <v>178</v>
      </c>
      <c r="AP277" s="10">
        <f t="shared" si="17"/>
        <v>85.3</v>
      </c>
      <c r="AQ277" s="1">
        <f t="shared" si="18"/>
        <v>263.3</v>
      </c>
      <c r="AR277" s="1">
        <f t="shared" si="19"/>
        <v>-28.5</v>
      </c>
    </row>
    <row r="278" spans="1:44" x14ac:dyDescent="0.2">
      <c r="A278" s="3">
        <v>271</v>
      </c>
      <c r="B278" s="3" t="s">
        <v>300</v>
      </c>
      <c r="C278" s="3" t="s">
        <v>27</v>
      </c>
      <c r="D278" s="3">
        <v>1</v>
      </c>
      <c r="E278" s="3" t="s">
        <v>309</v>
      </c>
      <c r="F278" s="4">
        <v>1459</v>
      </c>
      <c r="G278" s="4">
        <v>890</v>
      </c>
      <c r="H278" s="4">
        <v>569</v>
      </c>
      <c r="I278" s="4">
        <v>815.9</v>
      </c>
      <c r="J278" s="4">
        <v>91</v>
      </c>
      <c r="K278" s="4">
        <v>187</v>
      </c>
      <c r="L278" s="4">
        <v>0</v>
      </c>
      <c r="M278" s="4">
        <v>150</v>
      </c>
      <c r="N278" s="4">
        <v>28</v>
      </c>
      <c r="O278" s="4">
        <v>160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525</v>
      </c>
      <c r="Z278" s="4">
        <v>0</v>
      </c>
      <c r="AA278" s="4">
        <v>187</v>
      </c>
      <c r="AB278" s="4">
        <v>0</v>
      </c>
      <c r="AC278" s="4">
        <v>150</v>
      </c>
      <c r="AD278" s="4">
        <v>28</v>
      </c>
      <c r="AE278" s="4">
        <v>160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10">
        <f t="shared" si="16"/>
        <v>815.9</v>
      </c>
      <c r="AP278" s="10">
        <f t="shared" si="17"/>
        <v>616</v>
      </c>
      <c r="AQ278" s="1">
        <f t="shared" si="18"/>
        <v>1431.9</v>
      </c>
      <c r="AR278" s="1">
        <f t="shared" si="19"/>
        <v>-27.099999999999909</v>
      </c>
    </row>
    <row r="279" spans="1:44" x14ac:dyDescent="0.2">
      <c r="A279" s="3">
        <v>272</v>
      </c>
      <c r="B279" s="3" t="s">
        <v>312</v>
      </c>
      <c r="C279" s="3" t="s">
        <v>32</v>
      </c>
      <c r="D279" s="3">
        <v>0.15</v>
      </c>
      <c r="E279" s="3" t="s">
        <v>313</v>
      </c>
      <c r="F279" s="4">
        <v>218.85</v>
      </c>
      <c r="G279" s="4">
        <v>133.5</v>
      </c>
      <c r="H279" s="4">
        <v>85.35</v>
      </c>
      <c r="I279" s="4">
        <v>133</v>
      </c>
      <c r="J279" s="4">
        <v>39.75</v>
      </c>
      <c r="K279" s="4">
        <v>0</v>
      </c>
      <c r="L279" s="4">
        <v>0</v>
      </c>
      <c r="M279" s="4">
        <v>2</v>
      </c>
      <c r="N279" s="4">
        <v>28</v>
      </c>
      <c r="O279" s="4">
        <v>16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54.25</v>
      </c>
      <c r="Z279" s="4">
        <v>8.25</v>
      </c>
      <c r="AA279" s="4">
        <v>0</v>
      </c>
      <c r="AB279" s="4">
        <v>0</v>
      </c>
      <c r="AC279" s="4">
        <v>2</v>
      </c>
      <c r="AD279" s="4">
        <v>28</v>
      </c>
      <c r="AE279" s="4">
        <v>16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10">
        <f t="shared" si="16"/>
        <v>133</v>
      </c>
      <c r="AP279" s="10">
        <f t="shared" si="17"/>
        <v>85.75</v>
      </c>
      <c r="AQ279" s="1">
        <f t="shared" si="18"/>
        <v>218.75</v>
      </c>
      <c r="AR279" s="1">
        <f t="shared" si="19"/>
        <v>-9.9999999999994316E-2</v>
      </c>
    </row>
    <row r="280" spans="1:44" x14ac:dyDescent="0.2">
      <c r="A280" s="3">
        <v>273</v>
      </c>
      <c r="B280" s="3" t="s">
        <v>314</v>
      </c>
      <c r="C280" s="3" t="s">
        <v>27</v>
      </c>
      <c r="D280" s="3">
        <v>1</v>
      </c>
      <c r="E280" s="3" t="s">
        <v>313</v>
      </c>
      <c r="F280" s="4">
        <v>1459</v>
      </c>
      <c r="G280" s="4">
        <v>890</v>
      </c>
      <c r="H280" s="4">
        <v>569</v>
      </c>
      <c r="I280" s="4">
        <v>751.96</v>
      </c>
      <c r="J280" s="4">
        <v>174</v>
      </c>
      <c r="K280" s="4">
        <v>75</v>
      </c>
      <c r="L280" s="4">
        <v>0</v>
      </c>
      <c r="M280" s="4">
        <v>269</v>
      </c>
      <c r="N280" s="4">
        <v>28</v>
      </c>
      <c r="O280" s="4">
        <v>144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532</v>
      </c>
      <c r="Z280" s="4">
        <v>16</v>
      </c>
      <c r="AA280" s="4">
        <v>75</v>
      </c>
      <c r="AB280" s="4">
        <v>0</v>
      </c>
      <c r="AC280" s="4">
        <v>269</v>
      </c>
      <c r="AD280" s="4">
        <v>28</v>
      </c>
      <c r="AE280" s="4">
        <v>144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10">
        <f t="shared" si="16"/>
        <v>751.96</v>
      </c>
      <c r="AP280" s="10">
        <f t="shared" si="17"/>
        <v>690</v>
      </c>
      <c r="AQ280" s="1">
        <f t="shared" si="18"/>
        <v>1441.96</v>
      </c>
      <c r="AR280" s="1">
        <f t="shared" si="19"/>
        <v>-17.039999999999964</v>
      </c>
    </row>
    <row r="281" spans="1:44" x14ac:dyDescent="0.2">
      <c r="A281" s="3">
        <v>274</v>
      </c>
      <c r="B281" s="3" t="s">
        <v>315</v>
      </c>
      <c r="C281" s="3" t="s">
        <v>32</v>
      </c>
      <c r="D281" s="3">
        <v>1</v>
      </c>
      <c r="E281" s="3" t="s">
        <v>313</v>
      </c>
      <c r="F281" s="4">
        <v>1459</v>
      </c>
      <c r="G281" s="4">
        <v>890</v>
      </c>
      <c r="H281" s="4">
        <v>569</v>
      </c>
      <c r="I281" s="4">
        <v>824</v>
      </c>
      <c r="J281" s="4">
        <v>126</v>
      </c>
      <c r="K281" s="4">
        <v>24</v>
      </c>
      <c r="L281" s="4">
        <v>0</v>
      </c>
      <c r="M281" s="4">
        <v>162</v>
      </c>
      <c r="N281" s="4">
        <v>28</v>
      </c>
      <c r="O281" s="4">
        <v>144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372</v>
      </c>
      <c r="Z281" s="4">
        <v>14</v>
      </c>
      <c r="AA281" s="4">
        <v>24</v>
      </c>
      <c r="AB281" s="4">
        <v>0</v>
      </c>
      <c r="AC281" s="4">
        <v>162</v>
      </c>
      <c r="AD281" s="4">
        <v>28</v>
      </c>
      <c r="AE281" s="4">
        <v>144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10">
        <f t="shared" si="16"/>
        <v>824</v>
      </c>
      <c r="AP281" s="10">
        <f t="shared" si="17"/>
        <v>484</v>
      </c>
      <c r="AQ281" s="1">
        <f t="shared" si="18"/>
        <v>1308</v>
      </c>
      <c r="AR281" s="1">
        <f t="shared" si="19"/>
        <v>-151</v>
      </c>
    </row>
    <row r="282" spans="1:44" x14ac:dyDescent="0.2">
      <c r="A282" s="3">
        <v>275</v>
      </c>
      <c r="B282" s="3" t="s">
        <v>316</v>
      </c>
      <c r="C282" s="3" t="s">
        <v>32</v>
      </c>
      <c r="D282" s="3">
        <v>1</v>
      </c>
      <c r="E282" s="3" t="s">
        <v>313</v>
      </c>
      <c r="F282" s="4">
        <v>1459</v>
      </c>
      <c r="G282" s="4">
        <v>890</v>
      </c>
      <c r="H282" s="4">
        <v>569</v>
      </c>
      <c r="I282" s="4">
        <v>835.5</v>
      </c>
      <c r="J282" s="4">
        <v>219</v>
      </c>
      <c r="K282" s="4">
        <v>2</v>
      </c>
      <c r="L282" s="4">
        <v>0</v>
      </c>
      <c r="M282" s="4">
        <v>230</v>
      </c>
      <c r="N282" s="4">
        <v>28</v>
      </c>
      <c r="O282" s="4">
        <v>144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445.5</v>
      </c>
      <c r="Z282" s="4">
        <v>41.5</v>
      </c>
      <c r="AA282" s="4">
        <v>2</v>
      </c>
      <c r="AB282" s="4">
        <v>0</v>
      </c>
      <c r="AC282" s="4">
        <v>230</v>
      </c>
      <c r="AD282" s="4">
        <v>28</v>
      </c>
      <c r="AE282" s="4">
        <v>144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10">
        <f t="shared" si="16"/>
        <v>835.5</v>
      </c>
      <c r="AP282" s="10">
        <f t="shared" si="17"/>
        <v>623</v>
      </c>
      <c r="AQ282" s="1">
        <f t="shared" si="18"/>
        <v>1458.5</v>
      </c>
      <c r="AR282" s="1">
        <f t="shared" si="19"/>
        <v>-0.5</v>
      </c>
    </row>
    <row r="283" spans="1:44" x14ac:dyDescent="0.2">
      <c r="A283" s="3">
        <v>276</v>
      </c>
      <c r="B283" s="3" t="s">
        <v>317</v>
      </c>
      <c r="C283" s="3" t="s">
        <v>27</v>
      </c>
      <c r="D283" s="3">
        <v>1</v>
      </c>
      <c r="E283" s="3" t="s">
        <v>313</v>
      </c>
      <c r="F283" s="4">
        <v>1459</v>
      </c>
      <c r="G283" s="4">
        <v>890</v>
      </c>
      <c r="H283" s="4">
        <v>569</v>
      </c>
      <c r="I283" s="4">
        <v>851.5</v>
      </c>
      <c r="J283" s="4">
        <v>207.5</v>
      </c>
      <c r="K283" s="4">
        <v>0</v>
      </c>
      <c r="L283" s="4">
        <v>0</v>
      </c>
      <c r="M283" s="4">
        <v>140</v>
      </c>
      <c r="N283" s="4">
        <v>68</v>
      </c>
      <c r="O283" s="4">
        <v>144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372.5</v>
      </c>
      <c r="Z283" s="4">
        <v>20.5</v>
      </c>
      <c r="AA283" s="4">
        <v>0</v>
      </c>
      <c r="AB283" s="4">
        <v>0</v>
      </c>
      <c r="AC283" s="4">
        <v>140</v>
      </c>
      <c r="AD283" s="4">
        <v>68</v>
      </c>
      <c r="AE283" s="4">
        <v>144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10">
        <f t="shared" si="16"/>
        <v>851.5</v>
      </c>
      <c r="AP283" s="10">
        <f t="shared" si="17"/>
        <v>559.5</v>
      </c>
      <c r="AQ283" s="1">
        <f t="shared" si="18"/>
        <v>1411</v>
      </c>
      <c r="AR283" s="1">
        <f t="shared" si="19"/>
        <v>-48</v>
      </c>
    </row>
    <row r="284" spans="1:44" x14ac:dyDescent="0.2">
      <c r="A284" s="3">
        <v>277</v>
      </c>
      <c r="B284" s="3" t="s">
        <v>318</v>
      </c>
      <c r="C284" s="3" t="s">
        <v>32</v>
      </c>
      <c r="D284" s="3">
        <v>1</v>
      </c>
      <c r="E284" s="3" t="s">
        <v>313</v>
      </c>
      <c r="F284" s="4">
        <v>1459</v>
      </c>
      <c r="G284" s="4">
        <v>890</v>
      </c>
      <c r="H284" s="4">
        <v>569</v>
      </c>
      <c r="I284" s="4">
        <v>860</v>
      </c>
      <c r="J284" s="4">
        <v>202</v>
      </c>
      <c r="K284" s="4">
        <v>8</v>
      </c>
      <c r="L284" s="4">
        <v>0</v>
      </c>
      <c r="M284" s="4">
        <v>2</v>
      </c>
      <c r="N284" s="4">
        <v>28</v>
      </c>
      <c r="O284" s="4">
        <v>72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120.5</v>
      </c>
      <c r="Z284" s="4">
        <v>10.5</v>
      </c>
      <c r="AA284" s="4">
        <v>8</v>
      </c>
      <c r="AB284" s="4">
        <v>0</v>
      </c>
      <c r="AC284" s="4">
        <v>2</v>
      </c>
      <c r="AD284" s="4">
        <v>28</v>
      </c>
      <c r="AE284" s="4">
        <v>72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10">
        <f t="shared" si="16"/>
        <v>860</v>
      </c>
      <c r="AP284" s="10">
        <f t="shared" si="17"/>
        <v>312</v>
      </c>
      <c r="AQ284" s="1">
        <f t="shared" si="18"/>
        <v>1172</v>
      </c>
      <c r="AR284" s="1">
        <f t="shared" si="19"/>
        <v>-287</v>
      </c>
    </row>
    <row r="285" spans="1:44" x14ac:dyDescent="0.2">
      <c r="A285" s="3">
        <v>278</v>
      </c>
      <c r="B285" s="3" t="s">
        <v>319</v>
      </c>
      <c r="C285" s="3" t="s">
        <v>27</v>
      </c>
      <c r="D285" s="3">
        <v>0.5</v>
      </c>
      <c r="E285" s="3" t="s">
        <v>313</v>
      </c>
      <c r="F285" s="4">
        <v>729.5</v>
      </c>
      <c r="G285" s="4">
        <v>445</v>
      </c>
      <c r="H285" s="4">
        <v>284.5</v>
      </c>
      <c r="I285" s="4">
        <v>160.5</v>
      </c>
      <c r="J285" s="4">
        <v>30</v>
      </c>
      <c r="K285" s="4">
        <v>115</v>
      </c>
      <c r="L285" s="4">
        <v>0</v>
      </c>
      <c r="M285" s="4">
        <v>0</v>
      </c>
      <c r="N285" s="4">
        <v>400</v>
      </c>
      <c r="O285" s="4">
        <v>16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531</v>
      </c>
      <c r="Z285" s="4">
        <v>0</v>
      </c>
      <c r="AA285" s="4">
        <v>115</v>
      </c>
      <c r="AB285" s="4">
        <v>0</v>
      </c>
      <c r="AC285" s="4">
        <v>0</v>
      </c>
      <c r="AD285" s="4">
        <v>400</v>
      </c>
      <c r="AE285" s="4">
        <v>16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10">
        <f t="shared" si="16"/>
        <v>160.5</v>
      </c>
      <c r="AP285" s="10">
        <f t="shared" si="17"/>
        <v>561</v>
      </c>
      <c r="AQ285" s="1">
        <f t="shared" si="18"/>
        <v>721.5</v>
      </c>
      <c r="AR285" s="1">
        <f t="shared" si="19"/>
        <v>-8</v>
      </c>
    </row>
    <row r="286" spans="1:44" x14ac:dyDescent="0.2">
      <c r="A286" s="3">
        <v>279</v>
      </c>
      <c r="B286" s="3" t="s">
        <v>320</v>
      </c>
      <c r="C286" s="3" t="s">
        <v>27</v>
      </c>
      <c r="D286" s="3">
        <v>1</v>
      </c>
      <c r="E286" s="3" t="s">
        <v>313</v>
      </c>
      <c r="F286" s="4">
        <v>1459</v>
      </c>
      <c r="G286" s="4">
        <v>890</v>
      </c>
      <c r="H286" s="4">
        <v>569</v>
      </c>
      <c r="I286" s="4">
        <v>806.04</v>
      </c>
      <c r="J286" s="4">
        <v>186</v>
      </c>
      <c r="K286" s="4">
        <v>86</v>
      </c>
      <c r="L286" s="4">
        <v>0</v>
      </c>
      <c r="M286" s="4">
        <v>99</v>
      </c>
      <c r="N286" s="4">
        <v>28</v>
      </c>
      <c r="O286" s="4">
        <v>244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474</v>
      </c>
      <c r="Z286" s="4">
        <v>17</v>
      </c>
      <c r="AA286" s="4">
        <v>86</v>
      </c>
      <c r="AB286" s="4">
        <v>0</v>
      </c>
      <c r="AC286" s="4">
        <v>99</v>
      </c>
      <c r="AD286" s="4">
        <v>28</v>
      </c>
      <c r="AE286" s="4">
        <v>244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10">
        <f t="shared" si="16"/>
        <v>806.04</v>
      </c>
      <c r="AP286" s="10">
        <f t="shared" si="17"/>
        <v>643</v>
      </c>
      <c r="AQ286" s="1">
        <f t="shared" si="18"/>
        <v>1449.04</v>
      </c>
      <c r="AR286" s="1">
        <f t="shared" si="19"/>
        <v>-9.9600000000000364</v>
      </c>
    </row>
    <row r="287" spans="1:44" x14ac:dyDescent="0.2">
      <c r="A287" s="3">
        <v>280</v>
      </c>
      <c r="B287" s="3" t="s">
        <v>321</v>
      </c>
      <c r="C287" s="3" t="s">
        <v>32</v>
      </c>
      <c r="D287" s="3">
        <v>0.1</v>
      </c>
      <c r="E287" s="3" t="s">
        <v>313</v>
      </c>
      <c r="F287" s="4">
        <v>145.9</v>
      </c>
      <c r="G287" s="4">
        <v>89</v>
      </c>
      <c r="H287" s="4">
        <v>56.9</v>
      </c>
      <c r="I287" s="4">
        <v>0</v>
      </c>
      <c r="J287" s="4">
        <v>73</v>
      </c>
      <c r="K287" s="4">
        <v>0</v>
      </c>
      <c r="L287" s="4">
        <v>0</v>
      </c>
      <c r="M287" s="4">
        <v>0</v>
      </c>
      <c r="N287" s="4">
        <v>20</v>
      </c>
      <c r="O287" s="4">
        <v>48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126.5</v>
      </c>
      <c r="Z287" s="4">
        <v>58.5</v>
      </c>
      <c r="AA287" s="4">
        <v>0</v>
      </c>
      <c r="AB287" s="4">
        <v>0</v>
      </c>
      <c r="AC287" s="4">
        <v>0</v>
      </c>
      <c r="AD287" s="4">
        <v>20</v>
      </c>
      <c r="AE287" s="4">
        <v>48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10">
        <f t="shared" si="16"/>
        <v>0</v>
      </c>
      <c r="AP287" s="10">
        <f t="shared" si="17"/>
        <v>141</v>
      </c>
      <c r="AQ287" s="1">
        <f t="shared" si="18"/>
        <v>141</v>
      </c>
      <c r="AR287" s="1">
        <f t="shared" si="19"/>
        <v>-4.9000000000000057</v>
      </c>
    </row>
    <row r="288" spans="1:44" x14ac:dyDescent="0.2">
      <c r="A288" s="3">
        <v>281</v>
      </c>
      <c r="B288" s="3" t="s">
        <v>322</v>
      </c>
      <c r="C288" s="3" t="s">
        <v>27</v>
      </c>
      <c r="D288" s="3">
        <v>1.5</v>
      </c>
      <c r="E288" s="3" t="s">
        <v>313</v>
      </c>
      <c r="F288" s="4">
        <v>2188.5</v>
      </c>
      <c r="G288" s="4">
        <v>1335</v>
      </c>
      <c r="H288" s="4">
        <v>853.5</v>
      </c>
      <c r="I288" s="4">
        <v>1145.5</v>
      </c>
      <c r="J288" s="4">
        <v>289</v>
      </c>
      <c r="K288" s="4">
        <v>46</v>
      </c>
      <c r="L288" s="4">
        <v>0</v>
      </c>
      <c r="M288" s="4">
        <v>304</v>
      </c>
      <c r="N288" s="4">
        <v>68</v>
      </c>
      <c r="O288" s="4">
        <v>112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578</v>
      </c>
      <c r="Z288" s="4">
        <v>48</v>
      </c>
      <c r="AA288" s="4">
        <v>46</v>
      </c>
      <c r="AB288" s="4">
        <v>0</v>
      </c>
      <c r="AC288" s="4">
        <v>304</v>
      </c>
      <c r="AD288" s="4">
        <v>68</v>
      </c>
      <c r="AE288" s="4">
        <v>112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10">
        <f t="shared" si="16"/>
        <v>1145.5</v>
      </c>
      <c r="AP288" s="10">
        <f t="shared" si="17"/>
        <v>819</v>
      </c>
      <c r="AQ288" s="1">
        <f t="shared" si="18"/>
        <v>1964.5</v>
      </c>
      <c r="AR288" s="1">
        <f t="shared" si="19"/>
        <v>-224</v>
      </c>
    </row>
    <row r="289" spans="1:44" x14ac:dyDescent="0.2">
      <c r="A289" s="3">
        <v>282</v>
      </c>
      <c r="B289" s="3" t="s">
        <v>323</v>
      </c>
      <c r="C289" s="3" t="s">
        <v>27</v>
      </c>
      <c r="D289" s="3">
        <v>1</v>
      </c>
      <c r="E289" s="3" t="s">
        <v>313</v>
      </c>
      <c r="F289" s="4">
        <v>1459</v>
      </c>
      <c r="G289" s="4">
        <v>890</v>
      </c>
      <c r="H289" s="4">
        <v>569</v>
      </c>
      <c r="I289" s="4">
        <v>846</v>
      </c>
      <c r="J289" s="4">
        <v>211</v>
      </c>
      <c r="K289" s="4">
        <v>59</v>
      </c>
      <c r="L289" s="4">
        <v>0</v>
      </c>
      <c r="M289" s="4">
        <v>135</v>
      </c>
      <c r="N289" s="4">
        <v>158</v>
      </c>
      <c r="O289" s="4">
        <v>32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415.5</v>
      </c>
      <c r="Z289" s="4">
        <v>31.5</v>
      </c>
      <c r="AA289" s="4">
        <v>59</v>
      </c>
      <c r="AB289" s="4">
        <v>0</v>
      </c>
      <c r="AC289" s="4">
        <v>135</v>
      </c>
      <c r="AD289" s="4">
        <v>158</v>
      </c>
      <c r="AE289" s="4">
        <v>32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10">
        <f t="shared" si="16"/>
        <v>846</v>
      </c>
      <c r="AP289" s="10">
        <f t="shared" si="17"/>
        <v>595</v>
      </c>
      <c r="AQ289" s="1">
        <f t="shared" si="18"/>
        <v>1441</v>
      </c>
      <c r="AR289" s="1">
        <f t="shared" si="19"/>
        <v>-18</v>
      </c>
    </row>
    <row r="290" spans="1:44" x14ac:dyDescent="0.2">
      <c r="A290" s="3">
        <v>283</v>
      </c>
      <c r="B290" s="3" t="s">
        <v>324</v>
      </c>
      <c r="C290" s="3" t="s">
        <v>32</v>
      </c>
      <c r="D290" s="3">
        <v>0.75</v>
      </c>
      <c r="E290" s="3" t="s">
        <v>313</v>
      </c>
      <c r="F290" s="4">
        <v>1094.25</v>
      </c>
      <c r="G290" s="4">
        <v>667.5</v>
      </c>
      <c r="H290" s="4">
        <v>426.75</v>
      </c>
      <c r="I290" s="4">
        <v>621.76</v>
      </c>
      <c r="J290" s="4">
        <v>159.80000000000001</v>
      </c>
      <c r="K290" s="4">
        <v>24</v>
      </c>
      <c r="L290" s="4">
        <v>0</v>
      </c>
      <c r="M290" s="4">
        <v>12</v>
      </c>
      <c r="N290" s="4">
        <v>108</v>
      </c>
      <c r="O290" s="4">
        <v>144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308.5</v>
      </c>
      <c r="Z290" s="4">
        <v>20.5</v>
      </c>
      <c r="AA290" s="4">
        <v>24</v>
      </c>
      <c r="AB290" s="4">
        <v>0</v>
      </c>
      <c r="AC290" s="4">
        <v>12</v>
      </c>
      <c r="AD290" s="4">
        <v>108</v>
      </c>
      <c r="AE290" s="4">
        <v>144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10">
        <f t="shared" si="16"/>
        <v>621.76</v>
      </c>
      <c r="AP290" s="10">
        <f t="shared" si="17"/>
        <v>447.8</v>
      </c>
      <c r="AQ290" s="1">
        <f t="shared" si="18"/>
        <v>1069.56</v>
      </c>
      <c r="AR290" s="1">
        <f t="shared" si="19"/>
        <v>-24.690000000000055</v>
      </c>
    </row>
    <row r="291" spans="1:44" x14ac:dyDescent="0.2">
      <c r="A291" s="3">
        <v>284</v>
      </c>
      <c r="B291" s="3" t="s">
        <v>325</v>
      </c>
      <c r="C291" s="3" t="s">
        <v>27</v>
      </c>
      <c r="D291" s="3">
        <v>0.5</v>
      </c>
      <c r="E291" s="3" t="s">
        <v>313</v>
      </c>
      <c r="F291" s="4">
        <v>729.5</v>
      </c>
      <c r="G291" s="4">
        <v>445</v>
      </c>
      <c r="H291" s="4">
        <v>284.5</v>
      </c>
      <c r="I291" s="4">
        <v>411.5</v>
      </c>
      <c r="J291" s="4">
        <v>93</v>
      </c>
      <c r="K291" s="4">
        <v>40</v>
      </c>
      <c r="L291" s="4">
        <v>0</v>
      </c>
      <c r="M291" s="4">
        <v>22</v>
      </c>
      <c r="N291" s="4">
        <v>28</v>
      </c>
      <c r="O291" s="4">
        <v>16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110</v>
      </c>
      <c r="Z291" s="4">
        <v>4</v>
      </c>
      <c r="AA291" s="4">
        <v>40</v>
      </c>
      <c r="AB291" s="4">
        <v>0</v>
      </c>
      <c r="AC291" s="4">
        <v>22</v>
      </c>
      <c r="AD291" s="4">
        <v>28</v>
      </c>
      <c r="AE291" s="4">
        <v>16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10">
        <f t="shared" si="16"/>
        <v>411.5</v>
      </c>
      <c r="AP291" s="10">
        <f t="shared" si="17"/>
        <v>199</v>
      </c>
      <c r="AQ291" s="1">
        <f t="shared" si="18"/>
        <v>610.5</v>
      </c>
      <c r="AR291" s="1">
        <f t="shared" si="19"/>
        <v>-119</v>
      </c>
    </row>
    <row r="292" spans="1:44" x14ac:dyDescent="0.2">
      <c r="A292" s="3">
        <v>285</v>
      </c>
      <c r="B292" s="3" t="s">
        <v>326</v>
      </c>
      <c r="C292" s="3" t="s">
        <v>48</v>
      </c>
      <c r="D292" s="3">
        <v>0.5</v>
      </c>
      <c r="E292" s="3" t="s">
        <v>327</v>
      </c>
      <c r="F292" s="4">
        <v>729.5</v>
      </c>
      <c r="G292" s="4">
        <v>445</v>
      </c>
      <c r="H292" s="4">
        <v>284.5</v>
      </c>
      <c r="I292" s="4">
        <v>301</v>
      </c>
      <c r="J292" s="4">
        <v>44.02</v>
      </c>
      <c r="K292" s="4">
        <v>142</v>
      </c>
      <c r="L292" s="4">
        <v>0</v>
      </c>
      <c r="M292" s="4">
        <v>0</v>
      </c>
      <c r="N292" s="4">
        <v>493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638.52</v>
      </c>
      <c r="Z292" s="4">
        <v>3.52</v>
      </c>
      <c r="AA292" s="4">
        <v>142</v>
      </c>
      <c r="AB292" s="4">
        <v>0</v>
      </c>
      <c r="AC292" s="4">
        <v>0</v>
      </c>
      <c r="AD292" s="4">
        <v>493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10">
        <f t="shared" si="16"/>
        <v>301</v>
      </c>
      <c r="AP292" s="10">
        <f t="shared" si="17"/>
        <v>679.02</v>
      </c>
      <c r="AQ292" s="1">
        <f t="shared" si="18"/>
        <v>980.02</v>
      </c>
      <c r="AR292" s="1">
        <f t="shared" si="19"/>
        <v>250.51999999999998</v>
      </c>
    </row>
    <row r="293" spans="1:44" x14ac:dyDescent="0.2">
      <c r="A293" s="3">
        <v>286</v>
      </c>
      <c r="B293" s="3" t="s">
        <v>328</v>
      </c>
      <c r="C293" s="3" t="s">
        <v>32</v>
      </c>
      <c r="D293" s="3">
        <v>1.5</v>
      </c>
      <c r="E293" s="3" t="s">
        <v>327</v>
      </c>
      <c r="F293" s="4">
        <v>2188.5</v>
      </c>
      <c r="G293" s="4">
        <v>1335</v>
      </c>
      <c r="H293" s="4">
        <v>853.5</v>
      </c>
      <c r="I293" s="4">
        <v>1324</v>
      </c>
      <c r="J293" s="4">
        <v>322</v>
      </c>
      <c r="K293" s="4">
        <v>0</v>
      </c>
      <c r="L293" s="4">
        <v>0</v>
      </c>
      <c r="M293" s="4">
        <v>300</v>
      </c>
      <c r="N293" s="4">
        <v>68</v>
      </c>
      <c r="O293" s="4">
        <v>148.96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516.96</v>
      </c>
      <c r="Z293" s="4">
        <v>0</v>
      </c>
      <c r="AA293" s="4">
        <v>0</v>
      </c>
      <c r="AB293" s="4">
        <v>0</v>
      </c>
      <c r="AC293" s="4">
        <v>300</v>
      </c>
      <c r="AD293" s="4">
        <v>68</v>
      </c>
      <c r="AE293" s="4">
        <v>148.96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10">
        <f t="shared" si="16"/>
        <v>1324</v>
      </c>
      <c r="AP293" s="10">
        <f t="shared" si="17"/>
        <v>838.96</v>
      </c>
      <c r="AQ293" s="1">
        <f t="shared" si="18"/>
        <v>2162.96</v>
      </c>
      <c r="AR293" s="1">
        <f t="shared" si="19"/>
        <v>-25.539999999999964</v>
      </c>
    </row>
    <row r="294" spans="1:44" x14ac:dyDescent="0.2">
      <c r="A294" s="3">
        <v>287</v>
      </c>
      <c r="B294" s="3" t="s">
        <v>329</v>
      </c>
      <c r="C294" s="3" t="s">
        <v>27</v>
      </c>
      <c r="D294" s="3">
        <v>1.5</v>
      </c>
      <c r="E294" s="3" t="s">
        <v>327</v>
      </c>
      <c r="F294" s="4">
        <v>2188.5</v>
      </c>
      <c r="G294" s="4">
        <v>1335</v>
      </c>
      <c r="H294" s="4">
        <v>853.5</v>
      </c>
      <c r="I294" s="4">
        <v>1334</v>
      </c>
      <c r="J294" s="4">
        <v>321.8</v>
      </c>
      <c r="K294" s="4">
        <v>60</v>
      </c>
      <c r="L294" s="4">
        <v>0</v>
      </c>
      <c r="M294" s="4">
        <v>220</v>
      </c>
      <c r="N294" s="4">
        <v>28</v>
      </c>
      <c r="O294" s="4">
        <v>208.7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527.5</v>
      </c>
      <c r="Z294" s="4">
        <v>10.8</v>
      </c>
      <c r="AA294" s="4">
        <v>60</v>
      </c>
      <c r="AB294" s="4">
        <v>0</v>
      </c>
      <c r="AC294" s="4">
        <v>220</v>
      </c>
      <c r="AD294" s="4">
        <v>28</v>
      </c>
      <c r="AE294" s="4">
        <v>208.7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10">
        <f t="shared" si="16"/>
        <v>1334</v>
      </c>
      <c r="AP294" s="10">
        <f t="shared" si="17"/>
        <v>838.5</v>
      </c>
      <c r="AQ294" s="1">
        <f t="shared" si="18"/>
        <v>2172.5</v>
      </c>
      <c r="AR294" s="1">
        <f t="shared" si="19"/>
        <v>-16</v>
      </c>
    </row>
    <row r="295" spans="1:44" x14ac:dyDescent="0.2">
      <c r="A295" s="3">
        <v>288</v>
      </c>
      <c r="B295" s="3" t="s">
        <v>330</v>
      </c>
      <c r="C295" s="3" t="s">
        <v>27</v>
      </c>
      <c r="D295" s="3">
        <v>1.5</v>
      </c>
      <c r="E295" s="3" t="s">
        <v>327</v>
      </c>
      <c r="F295" s="4">
        <v>2188.5</v>
      </c>
      <c r="G295" s="4">
        <v>1335</v>
      </c>
      <c r="H295" s="4">
        <v>853.5</v>
      </c>
      <c r="I295" s="4">
        <v>1178.5</v>
      </c>
      <c r="J295" s="4">
        <v>281.86</v>
      </c>
      <c r="K295" s="4">
        <v>265</v>
      </c>
      <c r="L295" s="4">
        <v>0</v>
      </c>
      <c r="M295" s="4">
        <v>370</v>
      </c>
      <c r="N295" s="4">
        <v>28</v>
      </c>
      <c r="O295" s="4">
        <v>49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743.36</v>
      </c>
      <c r="Z295" s="4">
        <v>31.36</v>
      </c>
      <c r="AA295" s="4">
        <v>265</v>
      </c>
      <c r="AB295" s="4">
        <v>0</v>
      </c>
      <c r="AC295" s="4">
        <v>370</v>
      </c>
      <c r="AD295" s="4">
        <v>28</v>
      </c>
      <c r="AE295" s="4">
        <v>49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10">
        <f t="shared" si="16"/>
        <v>1178.5</v>
      </c>
      <c r="AP295" s="10">
        <f t="shared" si="17"/>
        <v>993.86</v>
      </c>
      <c r="AQ295" s="1">
        <f t="shared" si="18"/>
        <v>2172.36</v>
      </c>
      <c r="AR295" s="1">
        <f t="shared" si="19"/>
        <v>-16.139999999999873</v>
      </c>
    </row>
    <row r="296" spans="1:44" x14ac:dyDescent="0.2">
      <c r="A296" s="3">
        <v>289</v>
      </c>
      <c r="B296" s="3" t="s">
        <v>331</v>
      </c>
      <c r="C296" s="3" t="s">
        <v>27</v>
      </c>
      <c r="D296" s="3">
        <v>1.5</v>
      </c>
      <c r="E296" s="3" t="s">
        <v>327</v>
      </c>
      <c r="F296" s="4">
        <v>2188.5</v>
      </c>
      <c r="G296" s="4">
        <v>1335</v>
      </c>
      <c r="H296" s="4">
        <v>853.5</v>
      </c>
      <c r="I296" s="4">
        <v>1322</v>
      </c>
      <c r="J296" s="4">
        <v>312.82</v>
      </c>
      <c r="K296" s="4">
        <v>226</v>
      </c>
      <c r="L296" s="4">
        <v>0</v>
      </c>
      <c r="M296" s="4">
        <v>230</v>
      </c>
      <c r="N296" s="4">
        <v>28</v>
      </c>
      <c r="O296" s="4">
        <v>44.14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544.46</v>
      </c>
      <c r="Z296" s="4">
        <v>16.32</v>
      </c>
      <c r="AA296" s="4">
        <v>226</v>
      </c>
      <c r="AB296" s="4">
        <v>0</v>
      </c>
      <c r="AC296" s="4">
        <v>230</v>
      </c>
      <c r="AD296" s="4">
        <v>28</v>
      </c>
      <c r="AE296" s="4">
        <v>44.14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10">
        <f t="shared" si="16"/>
        <v>1322</v>
      </c>
      <c r="AP296" s="10">
        <f t="shared" si="17"/>
        <v>840.95999999999992</v>
      </c>
      <c r="AQ296" s="1">
        <f t="shared" si="18"/>
        <v>2162.96</v>
      </c>
      <c r="AR296" s="1">
        <f t="shared" si="19"/>
        <v>-25.539999999999964</v>
      </c>
    </row>
    <row r="297" spans="1:44" x14ac:dyDescent="0.2">
      <c r="A297" s="3">
        <v>290</v>
      </c>
      <c r="B297" s="3" t="s">
        <v>332</v>
      </c>
      <c r="C297" s="3" t="s">
        <v>27</v>
      </c>
      <c r="D297" s="3">
        <v>1.5</v>
      </c>
      <c r="E297" s="3" t="s">
        <v>327</v>
      </c>
      <c r="F297" s="4">
        <v>2188.5</v>
      </c>
      <c r="G297" s="4">
        <v>1335</v>
      </c>
      <c r="H297" s="4">
        <v>853.5</v>
      </c>
      <c r="I297" s="4">
        <v>1245</v>
      </c>
      <c r="J297" s="4">
        <v>303.33999999999997</v>
      </c>
      <c r="K297" s="4">
        <v>8</v>
      </c>
      <c r="L297" s="4">
        <v>0</v>
      </c>
      <c r="M297" s="4">
        <v>355</v>
      </c>
      <c r="N297" s="4">
        <v>28</v>
      </c>
      <c r="O297" s="4">
        <v>216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636.84</v>
      </c>
      <c r="Z297" s="4">
        <v>29.84</v>
      </c>
      <c r="AA297" s="4">
        <v>8</v>
      </c>
      <c r="AB297" s="4">
        <v>0</v>
      </c>
      <c r="AC297" s="4">
        <v>355</v>
      </c>
      <c r="AD297" s="4">
        <v>28</v>
      </c>
      <c r="AE297" s="4">
        <v>216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10">
        <f t="shared" si="16"/>
        <v>1245</v>
      </c>
      <c r="AP297" s="10">
        <f t="shared" si="17"/>
        <v>910.33999999999992</v>
      </c>
      <c r="AQ297" s="1">
        <f t="shared" si="18"/>
        <v>2155.34</v>
      </c>
      <c r="AR297" s="1">
        <f t="shared" si="19"/>
        <v>-33.159999999999854</v>
      </c>
    </row>
    <row r="298" spans="1:44" x14ac:dyDescent="0.2">
      <c r="A298" s="3">
        <v>291</v>
      </c>
      <c r="B298" s="3" t="s">
        <v>333</v>
      </c>
      <c r="C298" s="3" t="s">
        <v>27</v>
      </c>
      <c r="D298" s="3">
        <v>1.5</v>
      </c>
      <c r="E298" s="3" t="s">
        <v>327</v>
      </c>
      <c r="F298" s="4">
        <v>2188.5</v>
      </c>
      <c r="G298" s="4">
        <v>1335</v>
      </c>
      <c r="H298" s="4">
        <v>853.5</v>
      </c>
      <c r="I298" s="4">
        <v>1192.5</v>
      </c>
      <c r="J298" s="4">
        <v>262.5</v>
      </c>
      <c r="K298" s="4">
        <v>286</v>
      </c>
      <c r="L298" s="4">
        <v>0</v>
      </c>
      <c r="M298" s="4">
        <v>320</v>
      </c>
      <c r="N298" s="4">
        <v>103</v>
      </c>
      <c r="O298" s="4">
        <v>41.97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691.97</v>
      </c>
      <c r="Z298" s="4">
        <v>34</v>
      </c>
      <c r="AA298" s="4">
        <v>238</v>
      </c>
      <c r="AB298" s="4">
        <v>0</v>
      </c>
      <c r="AC298" s="4">
        <v>275</v>
      </c>
      <c r="AD298" s="4">
        <v>103</v>
      </c>
      <c r="AE298" s="4">
        <v>41.97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10">
        <f t="shared" si="16"/>
        <v>1192.5</v>
      </c>
      <c r="AP298" s="10">
        <f t="shared" si="17"/>
        <v>1013.47</v>
      </c>
      <c r="AQ298" s="1">
        <f t="shared" si="18"/>
        <v>2205.9700000000003</v>
      </c>
      <c r="AR298" s="1">
        <f t="shared" si="19"/>
        <v>17.470000000000255</v>
      </c>
    </row>
    <row r="299" spans="1:44" x14ac:dyDescent="0.2">
      <c r="A299" s="3">
        <v>292</v>
      </c>
      <c r="B299" s="3" t="s">
        <v>334</v>
      </c>
      <c r="C299" s="3" t="s">
        <v>27</v>
      </c>
      <c r="D299" s="3">
        <v>0.5</v>
      </c>
      <c r="E299" s="3" t="s">
        <v>327</v>
      </c>
      <c r="F299" s="4">
        <v>729.5</v>
      </c>
      <c r="G299" s="4">
        <v>445</v>
      </c>
      <c r="H299" s="4">
        <v>284.5</v>
      </c>
      <c r="I299" s="4">
        <v>445</v>
      </c>
      <c r="J299" s="4">
        <v>104.16</v>
      </c>
      <c r="K299" s="4">
        <v>24</v>
      </c>
      <c r="L299" s="4">
        <v>0</v>
      </c>
      <c r="M299" s="4">
        <v>90</v>
      </c>
      <c r="N299" s="4">
        <v>28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175.36</v>
      </c>
      <c r="Z299" s="4">
        <v>33.36</v>
      </c>
      <c r="AA299" s="4">
        <v>24</v>
      </c>
      <c r="AB299" s="4">
        <v>0</v>
      </c>
      <c r="AC299" s="4">
        <v>90</v>
      </c>
      <c r="AD299" s="4">
        <v>28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10">
        <f t="shared" si="16"/>
        <v>445</v>
      </c>
      <c r="AP299" s="10">
        <f t="shared" si="17"/>
        <v>246.16</v>
      </c>
      <c r="AQ299" s="1">
        <f t="shared" si="18"/>
        <v>691.16</v>
      </c>
      <c r="AR299" s="1">
        <f t="shared" si="19"/>
        <v>-38.340000000000032</v>
      </c>
    </row>
    <row r="300" spans="1:44" x14ac:dyDescent="0.2">
      <c r="A300" s="3">
        <v>293</v>
      </c>
      <c r="B300" s="3" t="s">
        <v>335</v>
      </c>
      <c r="C300" s="3" t="s">
        <v>32</v>
      </c>
      <c r="D300" s="3">
        <v>1.5</v>
      </c>
      <c r="E300" s="3" t="s">
        <v>327</v>
      </c>
      <c r="F300" s="4">
        <v>2188.5</v>
      </c>
      <c r="G300" s="4">
        <v>1335</v>
      </c>
      <c r="H300" s="4">
        <v>853.5</v>
      </c>
      <c r="I300" s="4">
        <v>1334</v>
      </c>
      <c r="J300" s="4">
        <v>330.8</v>
      </c>
      <c r="K300" s="4">
        <v>26</v>
      </c>
      <c r="L300" s="4">
        <v>0</v>
      </c>
      <c r="M300" s="4">
        <v>260</v>
      </c>
      <c r="N300" s="4">
        <v>148</v>
      </c>
      <c r="O300" s="4">
        <v>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500</v>
      </c>
      <c r="Z300" s="4">
        <v>2</v>
      </c>
      <c r="AA300" s="4">
        <v>26</v>
      </c>
      <c r="AB300" s="4">
        <v>0</v>
      </c>
      <c r="AC300" s="4">
        <v>260</v>
      </c>
      <c r="AD300" s="4">
        <v>148</v>
      </c>
      <c r="AE300" s="4">
        <v>64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10">
        <f t="shared" si="16"/>
        <v>1334</v>
      </c>
      <c r="AP300" s="10">
        <f t="shared" si="17"/>
        <v>828.8</v>
      </c>
      <c r="AQ300" s="1">
        <f t="shared" si="18"/>
        <v>2162.8000000000002</v>
      </c>
      <c r="AR300" s="1">
        <f t="shared" si="19"/>
        <v>-25.699999999999818</v>
      </c>
    </row>
    <row r="301" spans="1:44" x14ac:dyDescent="0.2">
      <c r="A301" s="3">
        <v>294</v>
      </c>
      <c r="B301" s="3" t="s">
        <v>336</v>
      </c>
      <c r="C301" s="3" t="s">
        <v>32</v>
      </c>
      <c r="D301" s="3">
        <v>1</v>
      </c>
      <c r="E301" s="3" t="s">
        <v>327</v>
      </c>
      <c r="F301" s="4">
        <v>1459</v>
      </c>
      <c r="G301" s="4">
        <v>890</v>
      </c>
      <c r="H301" s="4">
        <v>569</v>
      </c>
      <c r="I301" s="4">
        <v>889</v>
      </c>
      <c r="J301" s="4">
        <v>220.5</v>
      </c>
      <c r="K301" s="4">
        <v>0</v>
      </c>
      <c r="L301" s="4">
        <v>0</v>
      </c>
      <c r="M301" s="4">
        <v>30</v>
      </c>
      <c r="N301" s="4">
        <v>218</v>
      </c>
      <c r="O301" s="4">
        <v>75.959999999999994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323.95999999999998</v>
      </c>
      <c r="Z301" s="4">
        <v>0</v>
      </c>
      <c r="AA301" s="4">
        <v>0</v>
      </c>
      <c r="AB301" s="4">
        <v>0</v>
      </c>
      <c r="AC301" s="4">
        <v>30</v>
      </c>
      <c r="AD301" s="4">
        <v>218</v>
      </c>
      <c r="AE301" s="4">
        <v>75.959999999999994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10">
        <f t="shared" si="16"/>
        <v>889</v>
      </c>
      <c r="AP301" s="10">
        <f t="shared" si="17"/>
        <v>544.46</v>
      </c>
      <c r="AQ301" s="1">
        <f t="shared" si="18"/>
        <v>1433.46</v>
      </c>
      <c r="AR301" s="1">
        <f t="shared" si="19"/>
        <v>-25.539999999999964</v>
      </c>
    </row>
    <row r="302" spans="1:44" x14ac:dyDescent="0.2">
      <c r="A302" s="3">
        <v>295</v>
      </c>
      <c r="B302" s="3" t="s">
        <v>337</v>
      </c>
      <c r="C302" s="3" t="s">
        <v>32</v>
      </c>
      <c r="D302" s="3">
        <v>1</v>
      </c>
      <c r="E302" s="3" t="s">
        <v>327</v>
      </c>
      <c r="F302" s="4">
        <v>1459</v>
      </c>
      <c r="G302" s="4">
        <v>890</v>
      </c>
      <c r="H302" s="4">
        <v>569</v>
      </c>
      <c r="I302" s="4">
        <v>882</v>
      </c>
      <c r="J302" s="4">
        <v>219.5</v>
      </c>
      <c r="K302" s="4">
        <v>46</v>
      </c>
      <c r="L302" s="4">
        <v>0</v>
      </c>
      <c r="M302" s="4">
        <v>100</v>
      </c>
      <c r="N302" s="4">
        <v>68</v>
      </c>
      <c r="O302" s="4">
        <v>117.96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331.96</v>
      </c>
      <c r="Z302" s="4">
        <v>0</v>
      </c>
      <c r="AA302" s="4">
        <v>46</v>
      </c>
      <c r="AB302" s="4">
        <v>0</v>
      </c>
      <c r="AC302" s="4">
        <v>100</v>
      </c>
      <c r="AD302" s="4">
        <v>68</v>
      </c>
      <c r="AE302" s="4">
        <v>117.96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10">
        <f t="shared" si="16"/>
        <v>882</v>
      </c>
      <c r="AP302" s="10">
        <f t="shared" si="17"/>
        <v>551.46</v>
      </c>
      <c r="AQ302" s="1">
        <f t="shared" si="18"/>
        <v>1433.46</v>
      </c>
      <c r="AR302" s="1">
        <f t="shared" si="19"/>
        <v>-25.539999999999964</v>
      </c>
    </row>
    <row r="303" spans="1:44" x14ac:dyDescent="0.2">
      <c r="A303" s="3">
        <v>296</v>
      </c>
      <c r="B303" s="3" t="s">
        <v>338</v>
      </c>
      <c r="C303" s="3" t="s">
        <v>32</v>
      </c>
      <c r="D303" s="3">
        <v>1.5</v>
      </c>
      <c r="E303" s="3" t="s">
        <v>327</v>
      </c>
      <c r="F303" s="4">
        <v>2188.5</v>
      </c>
      <c r="G303" s="4">
        <v>1335</v>
      </c>
      <c r="H303" s="4">
        <v>853.5</v>
      </c>
      <c r="I303" s="4">
        <v>1329.78</v>
      </c>
      <c r="J303" s="4">
        <v>326.8</v>
      </c>
      <c r="K303" s="4">
        <v>12</v>
      </c>
      <c r="L303" s="4">
        <v>0</v>
      </c>
      <c r="M303" s="4">
        <v>350</v>
      </c>
      <c r="N303" s="4">
        <v>108</v>
      </c>
      <c r="O303" s="4">
        <v>34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508</v>
      </c>
      <c r="Z303" s="4">
        <v>4</v>
      </c>
      <c r="AA303" s="4">
        <v>12</v>
      </c>
      <c r="AB303" s="4">
        <v>0</v>
      </c>
      <c r="AC303" s="4">
        <v>350</v>
      </c>
      <c r="AD303" s="4">
        <v>108</v>
      </c>
      <c r="AE303" s="4">
        <v>34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10">
        <f t="shared" si="16"/>
        <v>1329.78</v>
      </c>
      <c r="AP303" s="10">
        <f t="shared" si="17"/>
        <v>830.8</v>
      </c>
      <c r="AQ303" s="1">
        <f t="shared" si="18"/>
        <v>2160.58</v>
      </c>
      <c r="AR303" s="1">
        <f t="shared" si="19"/>
        <v>-27.920000000000073</v>
      </c>
    </row>
    <row r="304" spans="1:44" x14ac:dyDescent="0.2">
      <c r="A304" s="3">
        <v>297</v>
      </c>
      <c r="B304" s="3" t="s">
        <v>339</v>
      </c>
      <c r="C304" s="3" t="s">
        <v>27</v>
      </c>
      <c r="D304" s="3">
        <v>0.5</v>
      </c>
      <c r="E304" s="3" t="s">
        <v>327</v>
      </c>
      <c r="F304" s="4">
        <v>729.5</v>
      </c>
      <c r="G304" s="4">
        <v>445</v>
      </c>
      <c r="H304" s="4">
        <v>284.5</v>
      </c>
      <c r="I304" s="4">
        <v>440</v>
      </c>
      <c r="J304" s="4">
        <v>325.8</v>
      </c>
      <c r="K304" s="4">
        <v>8</v>
      </c>
      <c r="L304" s="4">
        <v>0</v>
      </c>
      <c r="M304" s="4">
        <v>200</v>
      </c>
      <c r="N304" s="4">
        <v>108</v>
      </c>
      <c r="O304" s="4">
        <v>197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525.79999999999995</v>
      </c>
      <c r="Z304" s="4">
        <v>12.8</v>
      </c>
      <c r="AA304" s="4">
        <v>8</v>
      </c>
      <c r="AB304" s="4">
        <v>0</v>
      </c>
      <c r="AC304" s="4">
        <v>200</v>
      </c>
      <c r="AD304" s="4">
        <v>108</v>
      </c>
      <c r="AE304" s="4">
        <v>197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10">
        <f t="shared" si="16"/>
        <v>440</v>
      </c>
      <c r="AP304" s="10">
        <f t="shared" si="17"/>
        <v>838.8</v>
      </c>
      <c r="AQ304" s="1">
        <f t="shared" si="18"/>
        <v>1278.8</v>
      </c>
      <c r="AR304" s="1">
        <f t="shared" si="19"/>
        <v>549.29999999999995</v>
      </c>
    </row>
    <row r="305" spans="1:44" x14ac:dyDescent="0.2">
      <c r="A305" s="3">
        <v>298</v>
      </c>
      <c r="B305" s="3" t="s">
        <v>339</v>
      </c>
      <c r="C305" s="3" t="s">
        <v>32</v>
      </c>
      <c r="D305" s="3">
        <v>1</v>
      </c>
      <c r="E305" s="3" t="s">
        <v>327</v>
      </c>
      <c r="F305" s="4">
        <v>1459</v>
      </c>
      <c r="G305" s="4">
        <v>890</v>
      </c>
      <c r="H305" s="4">
        <v>569</v>
      </c>
      <c r="I305" s="4">
        <v>883</v>
      </c>
      <c r="J305" s="4">
        <v>325.8</v>
      </c>
      <c r="K305" s="4">
        <v>8</v>
      </c>
      <c r="L305" s="4">
        <v>0</v>
      </c>
      <c r="M305" s="4">
        <v>200</v>
      </c>
      <c r="N305" s="4">
        <v>108</v>
      </c>
      <c r="O305" s="4">
        <v>197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525.79999999999995</v>
      </c>
      <c r="Z305" s="4">
        <v>12.8</v>
      </c>
      <c r="AA305" s="4">
        <v>8</v>
      </c>
      <c r="AB305" s="4">
        <v>0</v>
      </c>
      <c r="AC305" s="4">
        <v>200</v>
      </c>
      <c r="AD305" s="4">
        <v>108</v>
      </c>
      <c r="AE305" s="4">
        <v>197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10">
        <f t="shared" si="16"/>
        <v>883</v>
      </c>
      <c r="AP305" s="10">
        <f t="shared" si="17"/>
        <v>838.8</v>
      </c>
      <c r="AQ305" s="1">
        <f t="shared" si="18"/>
        <v>1721.8</v>
      </c>
      <c r="AR305" s="1">
        <f t="shared" si="19"/>
        <v>262.79999999999995</v>
      </c>
    </row>
    <row r="306" spans="1:44" x14ac:dyDescent="0.2">
      <c r="A306" s="3">
        <v>299</v>
      </c>
      <c r="B306" s="3" t="s">
        <v>340</v>
      </c>
      <c r="C306" s="3" t="s">
        <v>32</v>
      </c>
      <c r="D306" s="3">
        <v>0.5</v>
      </c>
      <c r="E306" s="3" t="s">
        <v>327</v>
      </c>
      <c r="F306" s="4">
        <v>729.5</v>
      </c>
      <c r="G306" s="4">
        <v>445</v>
      </c>
      <c r="H306" s="4">
        <v>284.5</v>
      </c>
      <c r="I306" s="4">
        <v>300</v>
      </c>
      <c r="J306" s="4">
        <v>74</v>
      </c>
      <c r="K306" s="4">
        <v>8</v>
      </c>
      <c r="L306" s="4">
        <v>0</v>
      </c>
      <c r="M306" s="4">
        <v>250</v>
      </c>
      <c r="N306" s="4">
        <v>108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366</v>
      </c>
      <c r="Z306" s="4">
        <v>0</v>
      </c>
      <c r="AA306" s="4">
        <v>8</v>
      </c>
      <c r="AB306" s="4">
        <v>0</v>
      </c>
      <c r="AC306" s="4">
        <v>250</v>
      </c>
      <c r="AD306" s="4">
        <v>108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10">
        <f t="shared" si="16"/>
        <v>300</v>
      </c>
      <c r="AP306" s="10">
        <f t="shared" si="17"/>
        <v>440</v>
      </c>
      <c r="AQ306" s="1">
        <f t="shared" si="18"/>
        <v>740</v>
      </c>
      <c r="AR306" s="1">
        <f t="shared" si="19"/>
        <v>10.5</v>
      </c>
    </row>
    <row r="307" spans="1:44" x14ac:dyDescent="0.2">
      <c r="A307" s="3">
        <v>300</v>
      </c>
      <c r="B307" s="3" t="s">
        <v>341</v>
      </c>
      <c r="C307" s="3" t="s">
        <v>27</v>
      </c>
      <c r="D307" s="3">
        <v>0.5</v>
      </c>
      <c r="E307" s="3" t="s">
        <v>342</v>
      </c>
      <c r="F307" s="4">
        <v>729.5</v>
      </c>
      <c r="G307" s="4">
        <v>445</v>
      </c>
      <c r="H307" s="4">
        <v>284.5</v>
      </c>
      <c r="I307" s="4">
        <v>435.75</v>
      </c>
      <c r="J307" s="4">
        <v>127</v>
      </c>
      <c r="K307" s="4">
        <v>78.739999999999995</v>
      </c>
      <c r="L307" s="4">
        <v>0</v>
      </c>
      <c r="M307" s="4">
        <v>50</v>
      </c>
      <c r="N307" s="4">
        <v>28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246.74</v>
      </c>
      <c r="Z307" s="4">
        <v>90</v>
      </c>
      <c r="AA307" s="4">
        <v>78.739999999999995</v>
      </c>
      <c r="AB307" s="4">
        <v>0</v>
      </c>
      <c r="AC307" s="4">
        <v>50</v>
      </c>
      <c r="AD307" s="4">
        <v>28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10">
        <f t="shared" si="16"/>
        <v>435.75</v>
      </c>
      <c r="AP307" s="10">
        <f t="shared" si="17"/>
        <v>283.74</v>
      </c>
      <c r="AQ307" s="1">
        <f t="shared" si="18"/>
        <v>719.49</v>
      </c>
      <c r="AR307" s="1">
        <f t="shared" si="19"/>
        <v>-10.009999999999991</v>
      </c>
    </row>
    <row r="308" spans="1:44" x14ac:dyDescent="0.2">
      <c r="A308" s="3">
        <v>301</v>
      </c>
      <c r="B308" s="3" t="s">
        <v>343</v>
      </c>
      <c r="C308" s="3" t="s">
        <v>27</v>
      </c>
      <c r="D308" s="3">
        <v>1.2</v>
      </c>
      <c r="E308" s="3" t="s">
        <v>342</v>
      </c>
      <c r="F308" s="4">
        <v>1750.8</v>
      </c>
      <c r="G308" s="4">
        <v>1068</v>
      </c>
      <c r="H308" s="4">
        <v>682.8</v>
      </c>
      <c r="I308" s="4">
        <v>1009.25</v>
      </c>
      <c r="J308" s="4">
        <v>225</v>
      </c>
      <c r="K308" s="4">
        <v>97</v>
      </c>
      <c r="L308" s="4">
        <v>0</v>
      </c>
      <c r="M308" s="4">
        <v>165</v>
      </c>
      <c r="N308" s="4">
        <v>236.55</v>
      </c>
      <c r="O308" s="4">
        <v>18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560.54999999999995</v>
      </c>
      <c r="Z308" s="4">
        <v>44</v>
      </c>
      <c r="AA308" s="4">
        <v>97</v>
      </c>
      <c r="AB308" s="4">
        <v>0</v>
      </c>
      <c r="AC308" s="4">
        <v>165</v>
      </c>
      <c r="AD308" s="4">
        <v>236.55</v>
      </c>
      <c r="AE308" s="4">
        <v>18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10">
        <f t="shared" si="16"/>
        <v>1009.25</v>
      </c>
      <c r="AP308" s="10">
        <f t="shared" si="17"/>
        <v>741.55</v>
      </c>
      <c r="AQ308" s="1">
        <f t="shared" si="18"/>
        <v>1750.8</v>
      </c>
      <c r="AR308" s="1">
        <f t="shared" si="19"/>
        <v>0</v>
      </c>
    </row>
    <row r="309" spans="1:44" x14ac:dyDescent="0.2">
      <c r="A309" s="3">
        <v>302</v>
      </c>
      <c r="B309" s="3" t="s">
        <v>344</v>
      </c>
      <c r="C309" s="3" t="s">
        <v>27</v>
      </c>
      <c r="D309" s="3">
        <v>1.5</v>
      </c>
      <c r="E309" s="3" t="s">
        <v>342</v>
      </c>
      <c r="F309" s="4">
        <v>2188.5</v>
      </c>
      <c r="G309" s="4">
        <v>1335</v>
      </c>
      <c r="H309" s="4">
        <v>853.5</v>
      </c>
      <c r="I309" s="4">
        <v>886.25</v>
      </c>
      <c r="J309" s="4">
        <v>130</v>
      </c>
      <c r="K309" s="4">
        <v>87</v>
      </c>
      <c r="L309" s="4">
        <v>0</v>
      </c>
      <c r="M309" s="4">
        <v>145</v>
      </c>
      <c r="N309" s="4">
        <v>156.75</v>
      </c>
      <c r="O309" s="4">
        <v>54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450.75</v>
      </c>
      <c r="Z309" s="4">
        <v>8</v>
      </c>
      <c r="AA309" s="4">
        <v>87</v>
      </c>
      <c r="AB309" s="4">
        <v>0</v>
      </c>
      <c r="AC309" s="4">
        <v>145</v>
      </c>
      <c r="AD309" s="4">
        <v>156.75</v>
      </c>
      <c r="AE309" s="4">
        <v>54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10">
        <f t="shared" si="16"/>
        <v>886.25</v>
      </c>
      <c r="AP309" s="10">
        <f t="shared" si="17"/>
        <v>572.75</v>
      </c>
      <c r="AQ309" s="1">
        <f t="shared" si="18"/>
        <v>1459</v>
      </c>
      <c r="AR309" s="1">
        <f t="shared" si="19"/>
        <v>-729.5</v>
      </c>
    </row>
    <row r="310" spans="1:44" x14ac:dyDescent="0.2">
      <c r="A310" s="3">
        <v>303</v>
      </c>
      <c r="B310" s="3" t="s">
        <v>199</v>
      </c>
      <c r="C310" s="3" t="s">
        <v>27</v>
      </c>
      <c r="D310" s="3">
        <v>1</v>
      </c>
      <c r="E310" s="3" t="s">
        <v>342</v>
      </c>
      <c r="F310" s="4">
        <v>1459</v>
      </c>
      <c r="G310" s="4">
        <v>890</v>
      </c>
      <c r="H310" s="4">
        <v>569</v>
      </c>
      <c r="I310" s="4">
        <v>880</v>
      </c>
      <c r="J310" s="4">
        <v>213</v>
      </c>
      <c r="K310" s="4">
        <v>98</v>
      </c>
      <c r="L310" s="4">
        <v>0</v>
      </c>
      <c r="M310" s="4">
        <v>70</v>
      </c>
      <c r="N310" s="4">
        <v>198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486</v>
      </c>
      <c r="Z310" s="4">
        <v>120</v>
      </c>
      <c r="AA310" s="4">
        <v>98</v>
      </c>
      <c r="AB310" s="4">
        <v>0</v>
      </c>
      <c r="AC310" s="4">
        <v>70</v>
      </c>
      <c r="AD310" s="4">
        <v>198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10">
        <f t="shared" si="16"/>
        <v>880</v>
      </c>
      <c r="AP310" s="10">
        <f t="shared" si="17"/>
        <v>579</v>
      </c>
      <c r="AQ310" s="1">
        <f t="shared" si="18"/>
        <v>1459</v>
      </c>
      <c r="AR310" s="1">
        <f t="shared" si="19"/>
        <v>0</v>
      </c>
    </row>
    <row r="311" spans="1:44" x14ac:dyDescent="0.2">
      <c r="A311" s="3">
        <v>304</v>
      </c>
      <c r="B311" s="3" t="s">
        <v>345</v>
      </c>
      <c r="C311" s="3" t="s">
        <v>27</v>
      </c>
      <c r="D311" s="3">
        <v>0.2</v>
      </c>
      <c r="E311" s="3" t="s">
        <v>342</v>
      </c>
      <c r="F311" s="4">
        <v>291.8</v>
      </c>
      <c r="G311" s="4">
        <v>178</v>
      </c>
      <c r="H311" s="4">
        <v>113.8</v>
      </c>
      <c r="I311" s="4">
        <v>165.5</v>
      </c>
      <c r="J311" s="4">
        <v>37.5</v>
      </c>
      <c r="K311" s="4">
        <v>0.8</v>
      </c>
      <c r="L311" s="4">
        <v>0</v>
      </c>
      <c r="M311" s="4">
        <v>60</v>
      </c>
      <c r="N311" s="4">
        <v>28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94.8</v>
      </c>
      <c r="Z311" s="4">
        <v>6</v>
      </c>
      <c r="AA311" s="4">
        <v>0.8</v>
      </c>
      <c r="AB311" s="4">
        <v>0</v>
      </c>
      <c r="AC311" s="4">
        <v>60</v>
      </c>
      <c r="AD311" s="4">
        <v>28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10">
        <f t="shared" si="16"/>
        <v>165.5</v>
      </c>
      <c r="AP311" s="10">
        <f t="shared" si="17"/>
        <v>126.3</v>
      </c>
      <c r="AQ311" s="1">
        <f t="shared" si="18"/>
        <v>291.8</v>
      </c>
      <c r="AR311" s="1">
        <f t="shared" si="19"/>
        <v>0</v>
      </c>
    </row>
    <row r="312" spans="1:44" x14ac:dyDescent="0.2">
      <c r="A312" s="3">
        <v>305</v>
      </c>
      <c r="B312" s="3" t="s">
        <v>346</v>
      </c>
      <c r="C312" s="3" t="s">
        <v>27</v>
      </c>
      <c r="D312" s="3">
        <v>1</v>
      </c>
      <c r="E312" s="3" t="s">
        <v>342</v>
      </c>
      <c r="F312" s="4">
        <v>1459</v>
      </c>
      <c r="G312" s="4">
        <v>890</v>
      </c>
      <c r="H312" s="4">
        <v>569</v>
      </c>
      <c r="I312" s="4">
        <v>847.25</v>
      </c>
      <c r="J312" s="4">
        <v>205.5</v>
      </c>
      <c r="K312" s="4">
        <v>34</v>
      </c>
      <c r="L312" s="4">
        <v>0</v>
      </c>
      <c r="M312" s="4">
        <v>200</v>
      </c>
      <c r="N312" s="4">
        <v>118.26</v>
      </c>
      <c r="O312" s="4">
        <v>54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474.26</v>
      </c>
      <c r="Z312" s="4">
        <v>68</v>
      </c>
      <c r="AA312" s="4">
        <v>34</v>
      </c>
      <c r="AB312" s="4">
        <v>0</v>
      </c>
      <c r="AC312" s="4">
        <v>200</v>
      </c>
      <c r="AD312" s="4">
        <v>118.26</v>
      </c>
      <c r="AE312" s="4">
        <v>54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10">
        <f t="shared" si="16"/>
        <v>847.25</v>
      </c>
      <c r="AP312" s="10">
        <f t="shared" si="17"/>
        <v>611.76</v>
      </c>
      <c r="AQ312" s="1">
        <f t="shared" si="18"/>
        <v>1459.01</v>
      </c>
      <c r="AR312" s="1">
        <f t="shared" si="19"/>
        <v>9.9999999999909051E-3</v>
      </c>
    </row>
    <row r="313" spans="1:44" x14ac:dyDescent="0.2">
      <c r="A313" s="3">
        <v>306</v>
      </c>
      <c r="B313" s="3" t="s">
        <v>347</v>
      </c>
      <c r="C313" s="3" t="s">
        <v>27</v>
      </c>
      <c r="D313" s="3">
        <v>1.25</v>
      </c>
      <c r="E313" s="3" t="s">
        <v>342</v>
      </c>
      <c r="F313" s="4">
        <v>1823.75</v>
      </c>
      <c r="G313" s="4">
        <v>1112.5</v>
      </c>
      <c r="H313" s="4">
        <v>711.25</v>
      </c>
      <c r="I313" s="4">
        <v>222.5</v>
      </c>
      <c r="J313" s="4">
        <v>51.5</v>
      </c>
      <c r="K313" s="4">
        <v>4.76</v>
      </c>
      <c r="L313" s="4">
        <v>0</v>
      </c>
      <c r="M313" s="4">
        <v>40</v>
      </c>
      <c r="N313" s="4">
        <v>28</v>
      </c>
      <c r="O313" s="4">
        <v>18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102.76</v>
      </c>
      <c r="Z313" s="4">
        <v>12</v>
      </c>
      <c r="AA313" s="4">
        <v>4.76</v>
      </c>
      <c r="AB313" s="4">
        <v>0</v>
      </c>
      <c r="AC313" s="4">
        <v>40</v>
      </c>
      <c r="AD313" s="4">
        <v>28</v>
      </c>
      <c r="AE313" s="4">
        <v>18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10">
        <f t="shared" si="16"/>
        <v>222.5</v>
      </c>
      <c r="AP313" s="10">
        <f t="shared" si="17"/>
        <v>142.26</v>
      </c>
      <c r="AQ313" s="1">
        <f t="shared" si="18"/>
        <v>364.76</v>
      </c>
      <c r="AR313" s="1">
        <f t="shared" si="19"/>
        <v>-1458.99</v>
      </c>
    </row>
    <row r="314" spans="1:44" x14ac:dyDescent="0.2">
      <c r="A314" s="3">
        <v>307</v>
      </c>
      <c r="B314" s="3" t="s">
        <v>348</v>
      </c>
      <c r="C314" s="3" t="s">
        <v>27</v>
      </c>
      <c r="D314" s="3">
        <v>0.5</v>
      </c>
      <c r="E314" s="3" t="s">
        <v>342</v>
      </c>
      <c r="F314" s="4">
        <v>729.5</v>
      </c>
      <c r="G314" s="4">
        <v>445</v>
      </c>
      <c r="H314" s="4">
        <v>284.5</v>
      </c>
      <c r="I314" s="4">
        <v>263.5</v>
      </c>
      <c r="J314" s="4">
        <v>58.5</v>
      </c>
      <c r="K314" s="4">
        <v>12</v>
      </c>
      <c r="L314" s="4">
        <v>0</v>
      </c>
      <c r="M314" s="4">
        <v>70</v>
      </c>
      <c r="N314" s="4">
        <v>30.46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118.46</v>
      </c>
      <c r="Z314" s="4">
        <v>6</v>
      </c>
      <c r="AA314" s="4">
        <v>12</v>
      </c>
      <c r="AB314" s="4">
        <v>0</v>
      </c>
      <c r="AC314" s="4">
        <v>70</v>
      </c>
      <c r="AD314" s="4">
        <v>30.46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10">
        <f t="shared" si="16"/>
        <v>263.5</v>
      </c>
      <c r="AP314" s="10">
        <f t="shared" si="17"/>
        <v>170.96</v>
      </c>
      <c r="AQ314" s="1">
        <f t="shared" si="18"/>
        <v>434.46000000000004</v>
      </c>
      <c r="AR314" s="1">
        <f t="shared" si="19"/>
        <v>-295.03999999999996</v>
      </c>
    </row>
    <row r="315" spans="1:44" x14ac:dyDescent="0.2">
      <c r="A315" s="3">
        <v>308</v>
      </c>
      <c r="B315" s="3" t="s">
        <v>349</v>
      </c>
      <c r="C315" s="3" t="s">
        <v>32</v>
      </c>
      <c r="D315" s="3">
        <v>0.1</v>
      </c>
      <c r="E315" s="3" t="s">
        <v>342</v>
      </c>
      <c r="F315" s="4">
        <v>145.9</v>
      </c>
      <c r="G315" s="4">
        <v>89</v>
      </c>
      <c r="H315" s="4">
        <v>56.9</v>
      </c>
      <c r="I315" s="4">
        <v>53</v>
      </c>
      <c r="J315" s="4">
        <v>13</v>
      </c>
      <c r="K315" s="4">
        <v>29.9</v>
      </c>
      <c r="L315" s="4">
        <v>0</v>
      </c>
      <c r="M315" s="4">
        <v>0</v>
      </c>
      <c r="N315" s="4">
        <v>32</v>
      </c>
      <c r="O315" s="4">
        <v>18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79.900000000000006</v>
      </c>
      <c r="Z315" s="4">
        <v>0</v>
      </c>
      <c r="AA315" s="4">
        <v>29.9</v>
      </c>
      <c r="AB315" s="4">
        <v>0</v>
      </c>
      <c r="AC315" s="4">
        <v>0</v>
      </c>
      <c r="AD315" s="4">
        <v>32</v>
      </c>
      <c r="AE315" s="4">
        <v>18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10">
        <f t="shared" si="16"/>
        <v>53</v>
      </c>
      <c r="AP315" s="10">
        <f t="shared" si="17"/>
        <v>92.9</v>
      </c>
      <c r="AQ315" s="1">
        <f t="shared" si="18"/>
        <v>145.9</v>
      </c>
      <c r="AR315" s="1">
        <f t="shared" si="19"/>
        <v>0</v>
      </c>
    </row>
    <row r="316" spans="1:44" x14ac:dyDescent="0.2">
      <c r="A316" s="3">
        <v>309</v>
      </c>
      <c r="B316" s="3" t="s">
        <v>350</v>
      </c>
      <c r="C316" s="3" t="s">
        <v>36</v>
      </c>
      <c r="D316" s="3">
        <v>0.1</v>
      </c>
      <c r="E316" s="3" t="s">
        <v>342</v>
      </c>
      <c r="F316" s="4">
        <v>145.9</v>
      </c>
      <c r="G316" s="4">
        <v>89</v>
      </c>
      <c r="H316" s="4">
        <v>56.9</v>
      </c>
      <c r="I316" s="4">
        <v>88</v>
      </c>
      <c r="J316" s="4">
        <v>32</v>
      </c>
      <c r="K316" s="4">
        <v>0</v>
      </c>
      <c r="L316" s="4">
        <v>0</v>
      </c>
      <c r="M316" s="4">
        <v>25</v>
      </c>
      <c r="N316" s="4">
        <v>8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65</v>
      </c>
      <c r="Z316" s="4">
        <v>32</v>
      </c>
      <c r="AA316" s="4">
        <v>0</v>
      </c>
      <c r="AB316" s="4">
        <v>0</v>
      </c>
      <c r="AC316" s="4">
        <v>25</v>
      </c>
      <c r="AD316" s="4">
        <v>8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10">
        <f t="shared" si="16"/>
        <v>88</v>
      </c>
      <c r="AP316" s="10">
        <f t="shared" si="17"/>
        <v>65</v>
      </c>
      <c r="AQ316" s="1">
        <f t="shared" si="18"/>
        <v>153</v>
      </c>
      <c r="AR316" s="1">
        <f t="shared" si="19"/>
        <v>7.0999999999999943</v>
      </c>
    </row>
    <row r="317" spans="1:44" x14ac:dyDescent="0.2">
      <c r="A317" s="3">
        <v>310</v>
      </c>
      <c r="B317" s="3" t="s">
        <v>351</v>
      </c>
      <c r="C317" s="3" t="s">
        <v>32</v>
      </c>
      <c r="D317" s="3">
        <v>0.1</v>
      </c>
      <c r="E317" s="3" t="s">
        <v>342</v>
      </c>
      <c r="F317" s="4">
        <v>145.9</v>
      </c>
      <c r="G317" s="4">
        <v>89</v>
      </c>
      <c r="H317" s="4">
        <v>56.9</v>
      </c>
      <c r="I317" s="4">
        <v>0</v>
      </c>
      <c r="J317" s="4"/>
      <c r="K317" s="4"/>
      <c r="L317" s="4"/>
      <c r="M317" s="4"/>
      <c r="N317" s="4"/>
      <c r="O317" s="4"/>
      <c r="P317" s="4"/>
      <c r="Q317" s="4">
        <v>0</v>
      </c>
      <c r="R317" s="4"/>
      <c r="S317" s="4"/>
      <c r="T317" s="4"/>
      <c r="U317" s="4"/>
      <c r="V317" s="4"/>
      <c r="W317" s="4"/>
      <c r="X317" s="4"/>
      <c r="Y317" s="4">
        <v>0</v>
      </c>
      <c r="Z317" s="4"/>
      <c r="AA317" s="4"/>
      <c r="AB317" s="4"/>
      <c r="AC317" s="4"/>
      <c r="AD317" s="4"/>
      <c r="AE317" s="4"/>
      <c r="AF317" s="4"/>
      <c r="AG317" s="4">
        <v>0</v>
      </c>
      <c r="AH317" s="4"/>
      <c r="AI317" s="4"/>
      <c r="AJ317" s="4"/>
      <c r="AK317" s="4"/>
      <c r="AL317" s="4"/>
      <c r="AM317" s="4"/>
      <c r="AN317" s="4"/>
      <c r="AO317" s="10">
        <f t="shared" si="16"/>
        <v>0</v>
      </c>
      <c r="AP317" s="10">
        <f t="shared" si="17"/>
        <v>0</v>
      </c>
      <c r="AQ317" s="1">
        <f t="shared" si="18"/>
        <v>0</v>
      </c>
      <c r="AR317" s="1">
        <f t="shared" si="19"/>
        <v>-145.9</v>
      </c>
    </row>
    <row r="318" spans="1:44" x14ac:dyDescent="0.2">
      <c r="A318" s="3">
        <v>311</v>
      </c>
      <c r="B318" s="3" t="s">
        <v>352</v>
      </c>
      <c r="C318" s="3" t="s">
        <v>32</v>
      </c>
      <c r="D318" s="3">
        <v>0.5</v>
      </c>
      <c r="E318" s="3" t="s">
        <v>342</v>
      </c>
      <c r="F318" s="4">
        <v>729.5</v>
      </c>
      <c r="G318" s="4">
        <v>445</v>
      </c>
      <c r="H318" s="4">
        <v>284.5</v>
      </c>
      <c r="I318" s="4">
        <v>444</v>
      </c>
      <c r="J318" s="4">
        <v>102</v>
      </c>
      <c r="K318" s="4">
        <v>49.5</v>
      </c>
      <c r="L318" s="4">
        <v>0</v>
      </c>
      <c r="M318" s="4">
        <v>70</v>
      </c>
      <c r="N318" s="4">
        <v>28</v>
      </c>
      <c r="O318" s="4">
        <v>36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207.5</v>
      </c>
      <c r="Z318" s="4">
        <v>24</v>
      </c>
      <c r="AA318" s="4">
        <v>49.5</v>
      </c>
      <c r="AB318" s="4">
        <v>0</v>
      </c>
      <c r="AC318" s="4">
        <v>70</v>
      </c>
      <c r="AD318" s="4">
        <v>28</v>
      </c>
      <c r="AE318" s="4">
        <v>36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10">
        <f t="shared" si="16"/>
        <v>444</v>
      </c>
      <c r="AP318" s="10">
        <f t="shared" si="17"/>
        <v>285.5</v>
      </c>
      <c r="AQ318" s="1">
        <f t="shared" si="18"/>
        <v>729.5</v>
      </c>
      <c r="AR318" s="1">
        <f t="shared" si="19"/>
        <v>0</v>
      </c>
    </row>
    <row r="319" spans="1:44" x14ac:dyDescent="0.2">
      <c r="A319" s="3">
        <v>312</v>
      </c>
      <c r="B319" s="3" t="s">
        <v>353</v>
      </c>
      <c r="C319" s="3" t="s">
        <v>36</v>
      </c>
      <c r="D319" s="3">
        <v>0.2</v>
      </c>
      <c r="E319" s="3" t="s">
        <v>342</v>
      </c>
      <c r="F319" s="4">
        <v>291.8</v>
      </c>
      <c r="G319" s="4">
        <v>178</v>
      </c>
      <c r="H319" s="4">
        <v>113.8</v>
      </c>
      <c r="I319" s="4">
        <v>170</v>
      </c>
      <c r="J319" s="4">
        <v>31</v>
      </c>
      <c r="K319" s="4">
        <v>22.8</v>
      </c>
      <c r="L319" s="4">
        <v>0</v>
      </c>
      <c r="M319" s="4">
        <v>0</v>
      </c>
      <c r="N319" s="4">
        <v>68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96.8</v>
      </c>
      <c r="Z319" s="4">
        <v>6</v>
      </c>
      <c r="AA319" s="4">
        <v>22.8</v>
      </c>
      <c r="AB319" s="4">
        <v>0</v>
      </c>
      <c r="AC319" s="4">
        <v>0</v>
      </c>
      <c r="AD319" s="4">
        <v>68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10">
        <f t="shared" si="16"/>
        <v>170</v>
      </c>
      <c r="AP319" s="10">
        <f t="shared" si="17"/>
        <v>121.8</v>
      </c>
      <c r="AQ319" s="1">
        <f t="shared" si="18"/>
        <v>291.8</v>
      </c>
      <c r="AR319" s="1">
        <f t="shared" si="19"/>
        <v>0</v>
      </c>
    </row>
    <row r="320" spans="1:44" x14ac:dyDescent="0.2">
      <c r="A320" s="3">
        <v>313</v>
      </c>
      <c r="B320" s="3" t="s">
        <v>354</v>
      </c>
      <c r="C320" s="3" t="s">
        <v>27</v>
      </c>
      <c r="D320" s="3">
        <v>0.5</v>
      </c>
      <c r="E320" s="3" t="s">
        <v>355</v>
      </c>
      <c r="F320" s="4">
        <v>729.5</v>
      </c>
      <c r="G320" s="4">
        <v>445</v>
      </c>
      <c r="H320" s="4">
        <v>284.5</v>
      </c>
      <c r="I320" s="4">
        <v>389</v>
      </c>
      <c r="J320" s="4">
        <v>172.5</v>
      </c>
      <c r="K320" s="4">
        <v>0</v>
      </c>
      <c r="L320" s="4">
        <v>0</v>
      </c>
      <c r="M320" s="4">
        <v>0</v>
      </c>
      <c r="N320" s="4">
        <v>28</v>
      </c>
      <c r="O320" s="4">
        <v>88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196.5</v>
      </c>
      <c r="Z320" s="4">
        <v>80.5</v>
      </c>
      <c r="AA320" s="4">
        <v>0</v>
      </c>
      <c r="AB320" s="4">
        <v>0</v>
      </c>
      <c r="AC320" s="4">
        <v>0</v>
      </c>
      <c r="AD320" s="4">
        <v>28</v>
      </c>
      <c r="AE320" s="4">
        <v>88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10">
        <f t="shared" si="16"/>
        <v>389</v>
      </c>
      <c r="AP320" s="10">
        <f t="shared" si="17"/>
        <v>288.5</v>
      </c>
      <c r="AQ320" s="1">
        <f t="shared" si="18"/>
        <v>677.5</v>
      </c>
      <c r="AR320" s="1">
        <f t="shared" si="19"/>
        <v>-52</v>
      </c>
    </row>
    <row r="321" spans="1:44" x14ac:dyDescent="0.2">
      <c r="A321" s="3">
        <v>314</v>
      </c>
      <c r="B321" s="3" t="s">
        <v>66</v>
      </c>
      <c r="C321" s="3" t="s">
        <v>27</v>
      </c>
      <c r="D321" s="3">
        <v>0.5</v>
      </c>
      <c r="E321" s="3" t="s">
        <v>355</v>
      </c>
      <c r="F321" s="4">
        <v>729.5</v>
      </c>
      <c r="G321" s="4">
        <v>445</v>
      </c>
      <c r="H321" s="4">
        <v>284.5</v>
      </c>
      <c r="I321" s="4">
        <v>445</v>
      </c>
      <c r="J321" s="4">
        <v>24</v>
      </c>
      <c r="K321" s="4">
        <v>0</v>
      </c>
      <c r="L321" s="4">
        <v>0</v>
      </c>
      <c r="M321" s="4">
        <v>0</v>
      </c>
      <c r="N321" s="4">
        <v>211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233</v>
      </c>
      <c r="Z321" s="4">
        <v>22</v>
      </c>
      <c r="AA321" s="4">
        <v>0</v>
      </c>
      <c r="AB321" s="4">
        <v>0</v>
      </c>
      <c r="AC321" s="4">
        <v>0</v>
      </c>
      <c r="AD321" s="4">
        <v>211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10">
        <f t="shared" si="16"/>
        <v>445</v>
      </c>
      <c r="AP321" s="10">
        <f t="shared" si="17"/>
        <v>235</v>
      </c>
      <c r="AQ321" s="1">
        <f t="shared" si="18"/>
        <v>680</v>
      </c>
      <c r="AR321" s="1">
        <f t="shared" si="19"/>
        <v>-49.5</v>
      </c>
    </row>
    <row r="322" spans="1:44" x14ac:dyDescent="0.2">
      <c r="A322" s="3">
        <v>315</v>
      </c>
      <c r="B322" s="3" t="s">
        <v>356</v>
      </c>
      <c r="C322" s="3" t="s">
        <v>48</v>
      </c>
      <c r="D322" s="3">
        <v>0.5</v>
      </c>
      <c r="E322" s="3" t="s">
        <v>355</v>
      </c>
      <c r="F322" s="4">
        <v>729.5</v>
      </c>
      <c r="G322" s="4">
        <v>445</v>
      </c>
      <c r="H322" s="4">
        <v>284.5</v>
      </c>
      <c r="I322" s="4">
        <v>347.5</v>
      </c>
      <c r="J322" s="4">
        <v>57.52</v>
      </c>
      <c r="K322" s="4">
        <v>12</v>
      </c>
      <c r="L322" s="4">
        <v>0</v>
      </c>
      <c r="M322" s="4">
        <v>130</v>
      </c>
      <c r="N322" s="4">
        <v>20</v>
      </c>
      <c r="O322" s="4">
        <v>72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291.52</v>
      </c>
      <c r="Z322" s="4">
        <v>57.52</v>
      </c>
      <c r="AA322" s="4">
        <v>12</v>
      </c>
      <c r="AB322" s="4">
        <v>0</v>
      </c>
      <c r="AC322" s="4">
        <v>130</v>
      </c>
      <c r="AD322" s="4">
        <v>20</v>
      </c>
      <c r="AE322" s="4">
        <v>72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10">
        <f t="shared" si="16"/>
        <v>347.5</v>
      </c>
      <c r="AP322" s="10">
        <f t="shared" si="17"/>
        <v>291.52</v>
      </c>
      <c r="AQ322" s="1">
        <f t="shared" si="18"/>
        <v>639.02</v>
      </c>
      <c r="AR322" s="1">
        <f t="shared" si="19"/>
        <v>-90.480000000000018</v>
      </c>
    </row>
    <row r="323" spans="1:44" x14ac:dyDescent="0.2">
      <c r="A323" s="3">
        <v>316</v>
      </c>
      <c r="B323" s="3" t="s">
        <v>357</v>
      </c>
      <c r="C323" s="3" t="s">
        <v>27</v>
      </c>
      <c r="D323" s="3">
        <v>1</v>
      </c>
      <c r="E323" s="3" t="s">
        <v>355</v>
      </c>
      <c r="F323" s="4">
        <v>1459</v>
      </c>
      <c r="G323" s="4">
        <v>890</v>
      </c>
      <c r="H323" s="4">
        <v>569</v>
      </c>
      <c r="I323" s="4">
        <v>869</v>
      </c>
      <c r="J323" s="4">
        <v>161</v>
      </c>
      <c r="K323" s="4">
        <v>0</v>
      </c>
      <c r="L323" s="4">
        <v>366</v>
      </c>
      <c r="M323" s="4">
        <v>0</v>
      </c>
      <c r="N323" s="4">
        <v>28</v>
      </c>
      <c r="O323" s="4">
        <v>36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430</v>
      </c>
      <c r="Z323" s="4">
        <v>0</v>
      </c>
      <c r="AA323" s="4">
        <v>0</v>
      </c>
      <c r="AB323" s="4">
        <v>366</v>
      </c>
      <c r="AC323" s="4">
        <v>0</v>
      </c>
      <c r="AD323" s="4">
        <v>28</v>
      </c>
      <c r="AE323" s="4">
        <v>36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10">
        <f t="shared" si="16"/>
        <v>869</v>
      </c>
      <c r="AP323" s="10">
        <f t="shared" si="17"/>
        <v>591</v>
      </c>
      <c r="AQ323" s="1">
        <f t="shared" si="18"/>
        <v>1460</v>
      </c>
      <c r="AR323" s="1">
        <f t="shared" si="19"/>
        <v>1</v>
      </c>
    </row>
    <row r="324" spans="1:44" x14ac:dyDescent="0.2">
      <c r="A324" s="3">
        <v>317</v>
      </c>
      <c r="B324" s="3" t="s">
        <v>71</v>
      </c>
      <c r="C324" s="3" t="s">
        <v>27</v>
      </c>
      <c r="D324" s="3">
        <v>1</v>
      </c>
      <c r="E324" s="3" t="s">
        <v>355</v>
      </c>
      <c r="F324" s="4">
        <v>1459</v>
      </c>
      <c r="G324" s="4">
        <v>890</v>
      </c>
      <c r="H324" s="4">
        <v>569</v>
      </c>
      <c r="I324" s="4">
        <v>852</v>
      </c>
      <c r="J324" s="4">
        <v>176.76</v>
      </c>
      <c r="K324" s="4">
        <v>0</v>
      </c>
      <c r="L324" s="4">
        <v>0</v>
      </c>
      <c r="M324" s="4">
        <v>50</v>
      </c>
      <c r="N324" s="4">
        <v>28</v>
      </c>
      <c r="O324" s="4">
        <v>202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303.76</v>
      </c>
      <c r="Z324" s="4">
        <v>23.76</v>
      </c>
      <c r="AA324" s="4">
        <v>0</v>
      </c>
      <c r="AB324" s="4">
        <v>0</v>
      </c>
      <c r="AC324" s="4">
        <v>50</v>
      </c>
      <c r="AD324" s="4">
        <v>28</v>
      </c>
      <c r="AE324" s="4">
        <v>202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10">
        <f t="shared" si="16"/>
        <v>852</v>
      </c>
      <c r="AP324" s="10">
        <f t="shared" si="17"/>
        <v>456.76</v>
      </c>
      <c r="AQ324" s="1">
        <f t="shared" si="18"/>
        <v>1308.76</v>
      </c>
      <c r="AR324" s="1">
        <f t="shared" si="19"/>
        <v>-150.24</v>
      </c>
    </row>
    <row r="325" spans="1:44" x14ac:dyDescent="0.2">
      <c r="A325" s="3">
        <v>318</v>
      </c>
      <c r="B325" s="3" t="s">
        <v>358</v>
      </c>
      <c r="C325" s="3" t="s">
        <v>27</v>
      </c>
      <c r="D325" s="3">
        <v>0.25</v>
      </c>
      <c r="E325" s="3" t="s">
        <v>355</v>
      </c>
      <c r="F325" s="4">
        <v>364.75</v>
      </c>
      <c r="G325" s="4">
        <v>222.5</v>
      </c>
      <c r="H325" s="4">
        <v>142.25</v>
      </c>
      <c r="I325" s="4">
        <v>184</v>
      </c>
      <c r="J325" s="4">
        <v>63.49</v>
      </c>
      <c r="K325" s="4">
        <v>8</v>
      </c>
      <c r="L325" s="4">
        <v>0</v>
      </c>
      <c r="M325" s="4">
        <v>60</v>
      </c>
      <c r="N325" s="4">
        <v>28</v>
      </c>
      <c r="O325" s="4">
        <v>16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167.99</v>
      </c>
      <c r="Z325" s="4">
        <v>55.99</v>
      </c>
      <c r="AA325" s="4">
        <v>8</v>
      </c>
      <c r="AB325" s="4">
        <v>0</v>
      </c>
      <c r="AC325" s="4">
        <v>60</v>
      </c>
      <c r="AD325" s="4">
        <v>28</v>
      </c>
      <c r="AE325" s="4">
        <v>16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10">
        <f t="shared" si="16"/>
        <v>184</v>
      </c>
      <c r="AP325" s="10">
        <f t="shared" si="17"/>
        <v>175.49</v>
      </c>
      <c r="AQ325" s="1">
        <f t="shared" si="18"/>
        <v>359.49</v>
      </c>
      <c r="AR325" s="1">
        <f t="shared" si="19"/>
        <v>-5.2599999999999909</v>
      </c>
    </row>
    <row r="326" spans="1:44" x14ac:dyDescent="0.2">
      <c r="A326" s="3">
        <v>319</v>
      </c>
      <c r="B326" s="3" t="s">
        <v>274</v>
      </c>
      <c r="C326" s="3" t="s">
        <v>32</v>
      </c>
      <c r="D326" s="3">
        <v>1</v>
      </c>
      <c r="E326" s="3" t="s">
        <v>355</v>
      </c>
      <c r="F326" s="4">
        <v>1459</v>
      </c>
      <c r="G326" s="4">
        <v>890</v>
      </c>
      <c r="H326" s="4">
        <v>569</v>
      </c>
      <c r="I326" s="4">
        <v>816.22</v>
      </c>
      <c r="J326" s="4">
        <v>157.5</v>
      </c>
      <c r="K326" s="4">
        <v>4</v>
      </c>
      <c r="L326" s="4">
        <v>0</v>
      </c>
      <c r="M326" s="4">
        <v>130</v>
      </c>
      <c r="N326" s="4">
        <v>68</v>
      </c>
      <c r="O326" s="4">
        <v>252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454</v>
      </c>
      <c r="Z326" s="4">
        <v>0</v>
      </c>
      <c r="AA326" s="4">
        <v>4</v>
      </c>
      <c r="AB326" s="4">
        <v>0</v>
      </c>
      <c r="AC326" s="4">
        <v>130</v>
      </c>
      <c r="AD326" s="4">
        <v>68</v>
      </c>
      <c r="AE326" s="4">
        <v>252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10">
        <f t="shared" si="16"/>
        <v>816.22</v>
      </c>
      <c r="AP326" s="10">
        <f t="shared" si="17"/>
        <v>611.5</v>
      </c>
      <c r="AQ326" s="1">
        <f t="shared" si="18"/>
        <v>1427.72</v>
      </c>
      <c r="AR326" s="1">
        <f t="shared" si="19"/>
        <v>-31.279999999999973</v>
      </c>
    </row>
    <row r="327" spans="1:44" x14ac:dyDescent="0.2">
      <c r="A327" s="3">
        <v>320</v>
      </c>
      <c r="B327" s="3" t="s">
        <v>359</v>
      </c>
      <c r="C327" s="3" t="s">
        <v>48</v>
      </c>
      <c r="D327" s="3">
        <v>0.25</v>
      </c>
      <c r="E327" s="3" t="s">
        <v>355</v>
      </c>
      <c r="F327" s="4">
        <v>364.75</v>
      </c>
      <c r="G327" s="4">
        <v>222.5</v>
      </c>
      <c r="H327" s="4">
        <v>142.25</v>
      </c>
      <c r="I327" s="4">
        <v>80</v>
      </c>
      <c r="J327" s="4">
        <v>0</v>
      </c>
      <c r="K327" s="4">
        <v>0</v>
      </c>
      <c r="L327" s="4">
        <v>0</v>
      </c>
      <c r="M327" s="4">
        <v>254</v>
      </c>
      <c r="N327" s="4">
        <v>28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282</v>
      </c>
      <c r="Z327" s="4">
        <v>0</v>
      </c>
      <c r="AA327" s="4">
        <v>0</v>
      </c>
      <c r="AB327" s="4">
        <v>0</v>
      </c>
      <c r="AC327" s="4">
        <v>254</v>
      </c>
      <c r="AD327" s="4">
        <v>28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10">
        <f t="shared" si="16"/>
        <v>80</v>
      </c>
      <c r="AP327" s="10">
        <f t="shared" si="17"/>
        <v>282</v>
      </c>
      <c r="AQ327" s="1">
        <f t="shared" si="18"/>
        <v>362</v>
      </c>
      <c r="AR327" s="1">
        <f t="shared" si="19"/>
        <v>-2.75</v>
      </c>
    </row>
    <row r="328" spans="1:44" x14ac:dyDescent="0.2">
      <c r="A328" s="3">
        <v>321</v>
      </c>
      <c r="B328" s="3" t="s">
        <v>360</v>
      </c>
      <c r="C328" s="3" t="s">
        <v>32</v>
      </c>
      <c r="D328" s="3">
        <v>1</v>
      </c>
      <c r="E328" s="3" t="s">
        <v>355</v>
      </c>
      <c r="F328" s="4">
        <v>1459</v>
      </c>
      <c r="G328" s="4">
        <v>890</v>
      </c>
      <c r="H328" s="4">
        <v>569</v>
      </c>
      <c r="I328" s="4">
        <v>890</v>
      </c>
      <c r="J328" s="4">
        <v>172</v>
      </c>
      <c r="K328" s="4">
        <v>16</v>
      </c>
      <c r="L328" s="4">
        <v>0</v>
      </c>
      <c r="M328" s="4">
        <v>183</v>
      </c>
      <c r="N328" s="4">
        <v>28</v>
      </c>
      <c r="O328" s="4">
        <v>144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371</v>
      </c>
      <c r="Z328" s="4">
        <v>0</v>
      </c>
      <c r="AA328" s="4">
        <v>16</v>
      </c>
      <c r="AB328" s="4">
        <v>0</v>
      </c>
      <c r="AC328" s="4">
        <v>183</v>
      </c>
      <c r="AD328" s="4">
        <v>28</v>
      </c>
      <c r="AE328" s="4">
        <v>144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10">
        <f t="shared" si="16"/>
        <v>890</v>
      </c>
      <c r="AP328" s="10">
        <f t="shared" si="17"/>
        <v>543</v>
      </c>
      <c r="AQ328" s="1">
        <f t="shared" si="18"/>
        <v>1433</v>
      </c>
      <c r="AR328" s="1">
        <f t="shared" si="19"/>
        <v>-26</v>
      </c>
    </row>
    <row r="329" spans="1:44" x14ac:dyDescent="0.2">
      <c r="A329" s="3">
        <v>322</v>
      </c>
      <c r="B329" s="3" t="s">
        <v>361</v>
      </c>
      <c r="C329" s="3" t="s">
        <v>27</v>
      </c>
      <c r="D329" s="3">
        <v>0.5</v>
      </c>
      <c r="E329" s="3" t="s">
        <v>355</v>
      </c>
      <c r="F329" s="4">
        <v>729.5</v>
      </c>
      <c r="G329" s="4">
        <v>445</v>
      </c>
      <c r="H329" s="4">
        <v>284.5</v>
      </c>
      <c r="I329" s="4">
        <v>430</v>
      </c>
      <c r="J329" s="4">
        <v>90</v>
      </c>
      <c r="K329" s="4">
        <v>0</v>
      </c>
      <c r="L329" s="4">
        <v>210</v>
      </c>
      <c r="M329" s="4">
        <v>0</v>
      </c>
      <c r="N329" s="4">
        <v>8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210</v>
      </c>
      <c r="Z329" s="4">
        <v>0</v>
      </c>
      <c r="AA329" s="4">
        <v>0</v>
      </c>
      <c r="AB329" s="4">
        <v>210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10">
        <f t="shared" si="16"/>
        <v>430</v>
      </c>
      <c r="AP329" s="10">
        <f t="shared" si="17"/>
        <v>308</v>
      </c>
      <c r="AQ329" s="1">
        <f t="shared" si="18"/>
        <v>738</v>
      </c>
      <c r="AR329" s="1">
        <f t="shared" si="19"/>
        <v>8.5</v>
      </c>
    </row>
    <row r="330" spans="1:44" x14ac:dyDescent="0.2">
      <c r="A330" s="3">
        <v>323</v>
      </c>
      <c r="B330" s="3" t="s">
        <v>362</v>
      </c>
      <c r="C330" s="3" t="s">
        <v>27</v>
      </c>
      <c r="D330" s="3">
        <v>1</v>
      </c>
      <c r="E330" s="3" t="s">
        <v>355</v>
      </c>
      <c r="F330" s="4">
        <v>1459</v>
      </c>
      <c r="G330" s="4">
        <v>890</v>
      </c>
      <c r="H330" s="4">
        <v>569</v>
      </c>
      <c r="I330" s="4">
        <v>805.5</v>
      </c>
      <c r="J330" s="4">
        <v>185.98</v>
      </c>
      <c r="K330" s="4">
        <v>310</v>
      </c>
      <c r="L330" s="4">
        <v>0</v>
      </c>
      <c r="M330" s="4">
        <v>50</v>
      </c>
      <c r="N330" s="4">
        <v>20</v>
      </c>
      <c r="O330" s="4">
        <v>104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513.99</v>
      </c>
      <c r="Z330" s="4">
        <v>29.99</v>
      </c>
      <c r="AA330" s="4">
        <v>310</v>
      </c>
      <c r="AB330" s="4">
        <v>0</v>
      </c>
      <c r="AC330" s="4">
        <v>50</v>
      </c>
      <c r="AD330" s="4">
        <v>20</v>
      </c>
      <c r="AE330" s="4">
        <v>104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10">
        <f t="shared" ref="AO330:AO393" si="20">I330</f>
        <v>805.5</v>
      </c>
      <c r="AP330" s="10">
        <f t="shared" ref="AP330:AP393" si="21">SUM(J330:P330)</f>
        <v>669.98</v>
      </c>
      <c r="AQ330" s="1">
        <f t="shared" ref="AQ330:AQ393" si="22">AO330+AP330</f>
        <v>1475.48</v>
      </c>
      <c r="AR330" s="1">
        <f t="shared" ref="AR330:AR393" si="23">AQ330-F330</f>
        <v>16.480000000000018</v>
      </c>
    </row>
    <row r="331" spans="1:44" x14ac:dyDescent="0.2">
      <c r="A331" s="3">
        <v>324</v>
      </c>
      <c r="B331" s="3" t="s">
        <v>363</v>
      </c>
      <c r="C331" s="3" t="s">
        <v>27</v>
      </c>
      <c r="D331" s="3">
        <v>0.5</v>
      </c>
      <c r="E331" s="3" t="s">
        <v>355</v>
      </c>
      <c r="F331" s="4">
        <v>729.5</v>
      </c>
      <c r="G331" s="4">
        <v>445</v>
      </c>
      <c r="H331" s="4">
        <v>284.5</v>
      </c>
      <c r="I331" s="4">
        <v>358.5</v>
      </c>
      <c r="J331" s="4">
        <v>95.01</v>
      </c>
      <c r="K331" s="4">
        <v>16</v>
      </c>
      <c r="L331" s="4">
        <v>0</v>
      </c>
      <c r="M331" s="4">
        <v>160</v>
      </c>
      <c r="N331" s="4">
        <v>28</v>
      </c>
      <c r="O331" s="4">
        <v>72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350.01</v>
      </c>
      <c r="Z331" s="4">
        <v>74.010000000000005</v>
      </c>
      <c r="AA331" s="4">
        <v>16</v>
      </c>
      <c r="AB331" s="4">
        <v>0</v>
      </c>
      <c r="AC331" s="4">
        <v>160</v>
      </c>
      <c r="AD331" s="4">
        <v>28</v>
      </c>
      <c r="AE331" s="4">
        <v>72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10">
        <f t="shared" si="20"/>
        <v>358.5</v>
      </c>
      <c r="AP331" s="10">
        <f t="shared" si="21"/>
        <v>371.01</v>
      </c>
      <c r="AQ331" s="1">
        <f t="shared" si="22"/>
        <v>729.51</v>
      </c>
      <c r="AR331" s="1">
        <f t="shared" si="23"/>
        <v>9.9999999999909051E-3</v>
      </c>
    </row>
    <row r="332" spans="1:44" x14ac:dyDescent="0.2">
      <c r="A332" s="3">
        <v>325</v>
      </c>
      <c r="B332" s="3" t="s">
        <v>77</v>
      </c>
      <c r="C332" s="3" t="s">
        <v>48</v>
      </c>
      <c r="D332" s="3">
        <v>0.25</v>
      </c>
      <c r="E332" s="3" t="s">
        <v>355</v>
      </c>
      <c r="F332" s="4">
        <v>364.75</v>
      </c>
      <c r="G332" s="4">
        <v>222.5</v>
      </c>
      <c r="H332" s="4">
        <v>142.25</v>
      </c>
      <c r="I332" s="4">
        <v>222</v>
      </c>
      <c r="J332" s="4">
        <v>9</v>
      </c>
      <c r="K332" s="4">
        <v>12</v>
      </c>
      <c r="L332" s="4">
        <v>0</v>
      </c>
      <c r="M332" s="4">
        <v>0</v>
      </c>
      <c r="N332" s="4">
        <v>103</v>
      </c>
      <c r="O332" s="4">
        <v>16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131</v>
      </c>
      <c r="Z332" s="4">
        <v>0</v>
      </c>
      <c r="AA332" s="4">
        <v>12</v>
      </c>
      <c r="AB332" s="4">
        <v>0</v>
      </c>
      <c r="AC332" s="4">
        <v>0</v>
      </c>
      <c r="AD332" s="4">
        <v>103</v>
      </c>
      <c r="AE332" s="4">
        <v>16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10">
        <f t="shared" si="20"/>
        <v>222</v>
      </c>
      <c r="AP332" s="10">
        <f t="shared" si="21"/>
        <v>140</v>
      </c>
      <c r="AQ332" s="1">
        <f t="shared" si="22"/>
        <v>362</v>
      </c>
      <c r="AR332" s="1">
        <f t="shared" si="23"/>
        <v>-2.75</v>
      </c>
    </row>
    <row r="333" spans="1:44" x14ac:dyDescent="0.2">
      <c r="A333" s="3">
        <v>326</v>
      </c>
      <c r="B333" s="3" t="s">
        <v>364</v>
      </c>
      <c r="C333" s="3" t="s">
        <v>48</v>
      </c>
      <c r="D333" s="3">
        <v>0.5</v>
      </c>
      <c r="E333" s="3" t="s">
        <v>355</v>
      </c>
      <c r="F333" s="4">
        <v>729.5</v>
      </c>
      <c r="G333" s="4">
        <v>445</v>
      </c>
      <c r="H333" s="4">
        <v>284.5</v>
      </c>
      <c r="I333" s="4">
        <v>443</v>
      </c>
      <c r="J333" s="4">
        <v>81.8</v>
      </c>
      <c r="K333" s="4">
        <v>18</v>
      </c>
      <c r="L333" s="4">
        <v>165.5</v>
      </c>
      <c r="M333" s="4">
        <v>0</v>
      </c>
      <c r="N333" s="4">
        <v>28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209.5</v>
      </c>
      <c r="Z333" s="4">
        <v>6</v>
      </c>
      <c r="AA333" s="4">
        <v>18</v>
      </c>
      <c r="AB333" s="4">
        <v>165.5</v>
      </c>
      <c r="AC333" s="4">
        <v>0</v>
      </c>
      <c r="AD333" s="4">
        <v>20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10">
        <f t="shared" si="20"/>
        <v>443</v>
      </c>
      <c r="AP333" s="10">
        <f t="shared" si="21"/>
        <v>293.3</v>
      </c>
      <c r="AQ333" s="1">
        <f t="shared" si="22"/>
        <v>736.3</v>
      </c>
      <c r="AR333" s="1">
        <f t="shared" si="23"/>
        <v>6.7999999999999545</v>
      </c>
    </row>
    <row r="334" spans="1:44" x14ac:dyDescent="0.2">
      <c r="A334" s="3">
        <v>327</v>
      </c>
      <c r="B334" s="3" t="s">
        <v>365</v>
      </c>
      <c r="C334" s="3" t="s">
        <v>27</v>
      </c>
      <c r="D334" s="3">
        <v>1.25</v>
      </c>
      <c r="E334" s="3" t="s">
        <v>355</v>
      </c>
      <c r="F334" s="4">
        <v>1823.75</v>
      </c>
      <c r="G334" s="4">
        <v>1112.5</v>
      </c>
      <c r="H334" s="4">
        <v>711.25</v>
      </c>
      <c r="I334" s="4">
        <v>1100</v>
      </c>
      <c r="J334" s="4">
        <v>202.55</v>
      </c>
      <c r="K334" s="4">
        <v>12</v>
      </c>
      <c r="L334" s="4">
        <v>98.5</v>
      </c>
      <c r="M334" s="4">
        <v>200</v>
      </c>
      <c r="N334" s="4">
        <v>68</v>
      </c>
      <c r="O334" s="4">
        <v>144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530.04999999999995</v>
      </c>
      <c r="Z334" s="4">
        <v>7.55</v>
      </c>
      <c r="AA334" s="4">
        <v>12</v>
      </c>
      <c r="AB334" s="4">
        <v>98.5</v>
      </c>
      <c r="AC334" s="4">
        <v>200</v>
      </c>
      <c r="AD334" s="4">
        <v>68</v>
      </c>
      <c r="AE334" s="4">
        <v>144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10">
        <f t="shared" si="20"/>
        <v>1100</v>
      </c>
      <c r="AP334" s="10">
        <f t="shared" si="21"/>
        <v>725.05</v>
      </c>
      <c r="AQ334" s="1">
        <f t="shared" si="22"/>
        <v>1825.05</v>
      </c>
      <c r="AR334" s="1">
        <f t="shared" si="23"/>
        <v>1.2999999999999545</v>
      </c>
    </row>
    <row r="335" spans="1:44" x14ac:dyDescent="0.2">
      <c r="A335" s="3">
        <v>328</v>
      </c>
      <c r="B335" s="3" t="s">
        <v>366</v>
      </c>
      <c r="C335" s="3" t="s">
        <v>27</v>
      </c>
      <c r="D335" s="3">
        <v>1</v>
      </c>
      <c r="E335" s="3" t="s">
        <v>355</v>
      </c>
      <c r="F335" s="4">
        <v>1459</v>
      </c>
      <c r="G335" s="4">
        <v>890</v>
      </c>
      <c r="H335" s="4">
        <v>569</v>
      </c>
      <c r="I335" s="4">
        <v>890</v>
      </c>
      <c r="J335" s="4">
        <v>171</v>
      </c>
      <c r="K335" s="4">
        <v>209</v>
      </c>
      <c r="L335" s="4">
        <v>90.5</v>
      </c>
      <c r="M335" s="4">
        <v>0</v>
      </c>
      <c r="N335" s="4">
        <v>28</v>
      </c>
      <c r="O335" s="4">
        <v>144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463.5</v>
      </c>
      <c r="Z335" s="4">
        <v>0</v>
      </c>
      <c r="AA335" s="4">
        <v>209</v>
      </c>
      <c r="AB335" s="4">
        <v>90.5</v>
      </c>
      <c r="AC335" s="4">
        <v>0</v>
      </c>
      <c r="AD335" s="4">
        <v>20</v>
      </c>
      <c r="AE335" s="4">
        <v>144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10">
        <f t="shared" si="20"/>
        <v>890</v>
      </c>
      <c r="AP335" s="10">
        <f t="shared" si="21"/>
        <v>642.5</v>
      </c>
      <c r="AQ335" s="1">
        <f t="shared" si="22"/>
        <v>1532.5</v>
      </c>
      <c r="AR335" s="1">
        <f t="shared" si="23"/>
        <v>73.5</v>
      </c>
    </row>
    <row r="336" spans="1:44" x14ac:dyDescent="0.2">
      <c r="A336" s="3">
        <v>329</v>
      </c>
      <c r="B336" s="3" t="s">
        <v>79</v>
      </c>
      <c r="C336" s="3" t="s">
        <v>27</v>
      </c>
      <c r="D336" s="3">
        <v>1</v>
      </c>
      <c r="E336" s="3" t="s">
        <v>355</v>
      </c>
      <c r="F336" s="4">
        <v>1459</v>
      </c>
      <c r="G336" s="4">
        <v>890</v>
      </c>
      <c r="H336" s="4">
        <v>569</v>
      </c>
      <c r="I336" s="4">
        <v>781.5</v>
      </c>
      <c r="J336" s="4">
        <v>258</v>
      </c>
      <c r="K336" s="4">
        <v>298</v>
      </c>
      <c r="L336" s="4">
        <v>0</v>
      </c>
      <c r="M336" s="4">
        <v>27</v>
      </c>
      <c r="N336" s="4">
        <v>20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447.5</v>
      </c>
      <c r="Z336" s="4">
        <v>102.5</v>
      </c>
      <c r="AA336" s="4">
        <v>298</v>
      </c>
      <c r="AB336" s="4">
        <v>0</v>
      </c>
      <c r="AC336" s="4">
        <v>27</v>
      </c>
      <c r="AD336" s="4">
        <v>20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10">
        <f t="shared" si="20"/>
        <v>781.5</v>
      </c>
      <c r="AP336" s="10">
        <f t="shared" si="21"/>
        <v>603</v>
      </c>
      <c r="AQ336" s="1">
        <f t="shared" si="22"/>
        <v>1384.5</v>
      </c>
      <c r="AR336" s="1">
        <f t="shared" si="23"/>
        <v>-74.5</v>
      </c>
    </row>
    <row r="337" spans="1:44" x14ac:dyDescent="0.2">
      <c r="A337" s="3">
        <v>330</v>
      </c>
      <c r="B337" s="3" t="s">
        <v>367</v>
      </c>
      <c r="C337" s="3" t="s">
        <v>27</v>
      </c>
      <c r="D337" s="3">
        <v>0.5</v>
      </c>
      <c r="E337" s="3" t="s">
        <v>368</v>
      </c>
      <c r="F337" s="4">
        <v>729.5</v>
      </c>
      <c r="G337" s="4">
        <v>445</v>
      </c>
      <c r="H337" s="4">
        <v>284.5</v>
      </c>
      <c r="I337" s="4">
        <v>0</v>
      </c>
      <c r="J337" s="4">
        <v>0</v>
      </c>
      <c r="K337" s="4">
        <v>92</v>
      </c>
      <c r="L337" s="4">
        <v>0</v>
      </c>
      <c r="M337" s="4">
        <v>0</v>
      </c>
      <c r="N337" s="4">
        <v>20</v>
      </c>
      <c r="O337" s="4">
        <v>72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184</v>
      </c>
      <c r="Z337" s="4">
        <v>0</v>
      </c>
      <c r="AA337" s="4">
        <v>92</v>
      </c>
      <c r="AB337" s="4">
        <v>0</v>
      </c>
      <c r="AC337" s="4">
        <v>0</v>
      </c>
      <c r="AD337" s="4">
        <v>20</v>
      </c>
      <c r="AE337" s="4">
        <v>72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10">
        <f t="shared" si="20"/>
        <v>0</v>
      </c>
      <c r="AP337" s="10">
        <f t="shared" si="21"/>
        <v>184</v>
      </c>
      <c r="AQ337" s="1">
        <f t="shared" si="22"/>
        <v>184</v>
      </c>
      <c r="AR337" s="1">
        <f t="shared" si="23"/>
        <v>-545.5</v>
      </c>
    </row>
    <row r="338" spans="1:44" x14ac:dyDescent="0.2">
      <c r="A338" s="3">
        <v>331</v>
      </c>
      <c r="B338" s="3" t="s">
        <v>369</v>
      </c>
      <c r="C338" s="3" t="s">
        <v>32</v>
      </c>
      <c r="D338" s="3">
        <v>0.1</v>
      </c>
      <c r="E338" s="3" t="s">
        <v>368</v>
      </c>
      <c r="F338" s="4">
        <v>145.9</v>
      </c>
      <c r="G338" s="4">
        <v>89</v>
      </c>
      <c r="H338" s="4">
        <v>56.9</v>
      </c>
      <c r="I338" s="4">
        <v>76</v>
      </c>
      <c r="J338" s="4">
        <v>18</v>
      </c>
      <c r="K338" s="4">
        <v>61</v>
      </c>
      <c r="L338" s="4">
        <v>0</v>
      </c>
      <c r="M338" s="4">
        <v>0</v>
      </c>
      <c r="N338" s="4">
        <v>28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107</v>
      </c>
      <c r="Z338" s="4">
        <v>18</v>
      </c>
      <c r="AA338" s="4">
        <v>61</v>
      </c>
      <c r="AB338" s="4">
        <v>0</v>
      </c>
      <c r="AC338" s="4">
        <v>0</v>
      </c>
      <c r="AD338" s="4">
        <v>28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10">
        <f t="shared" si="20"/>
        <v>76</v>
      </c>
      <c r="AP338" s="10">
        <f t="shared" si="21"/>
        <v>107</v>
      </c>
      <c r="AQ338" s="1">
        <f t="shared" si="22"/>
        <v>183</v>
      </c>
      <c r="AR338" s="1">
        <f t="shared" si="23"/>
        <v>37.099999999999994</v>
      </c>
    </row>
    <row r="339" spans="1:44" x14ac:dyDescent="0.2">
      <c r="A339" s="3">
        <v>332</v>
      </c>
      <c r="B339" s="3" t="s">
        <v>370</v>
      </c>
      <c r="C339" s="3" t="s">
        <v>27</v>
      </c>
      <c r="D339" s="3">
        <v>1</v>
      </c>
      <c r="E339" s="3" t="s">
        <v>368</v>
      </c>
      <c r="F339" s="4">
        <v>1459</v>
      </c>
      <c r="G339" s="4">
        <v>890</v>
      </c>
      <c r="H339" s="4">
        <v>569</v>
      </c>
      <c r="I339" s="4">
        <v>888</v>
      </c>
      <c r="J339" s="4">
        <v>129.74</v>
      </c>
      <c r="K339" s="4">
        <v>285</v>
      </c>
      <c r="L339" s="4">
        <v>0</v>
      </c>
      <c r="M339" s="4">
        <v>60</v>
      </c>
      <c r="N339" s="4">
        <v>28</v>
      </c>
      <c r="O339" s="4">
        <v>72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574.74</v>
      </c>
      <c r="Z339" s="4">
        <v>129.74</v>
      </c>
      <c r="AA339" s="4">
        <v>285</v>
      </c>
      <c r="AB339" s="4">
        <v>0</v>
      </c>
      <c r="AC339" s="4">
        <v>60</v>
      </c>
      <c r="AD339" s="4">
        <v>28</v>
      </c>
      <c r="AE339" s="4">
        <v>72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10">
        <f t="shared" si="20"/>
        <v>888</v>
      </c>
      <c r="AP339" s="10">
        <f t="shared" si="21"/>
        <v>574.74</v>
      </c>
      <c r="AQ339" s="1">
        <f t="shared" si="22"/>
        <v>1462.74</v>
      </c>
      <c r="AR339" s="1">
        <f t="shared" si="23"/>
        <v>3.7400000000000091</v>
      </c>
    </row>
    <row r="340" spans="1:44" x14ac:dyDescent="0.2">
      <c r="A340" s="3">
        <v>333</v>
      </c>
      <c r="B340" s="3" t="s">
        <v>371</v>
      </c>
      <c r="C340" s="3" t="s">
        <v>36</v>
      </c>
      <c r="D340" s="3">
        <v>0.35</v>
      </c>
      <c r="E340" s="3" t="s">
        <v>368</v>
      </c>
      <c r="F340" s="4">
        <v>510.65</v>
      </c>
      <c r="G340" s="4">
        <v>311.5</v>
      </c>
      <c r="H340" s="4">
        <v>199.15</v>
      </c>
      <c r="I340" s="4">
        <v>284</v>
      </c>
      <c r="J340" s="4">
        <v>67.5</v>
      </c>
      <c r="K340" s="4">
        <v>145</v>
      </c>
      <c r="L340" s="4">
        <v>0</v>
      </c>
      <c r="M340" s="4">
        <v>0</v>
      </c>
      <c r="N340" s="4">
        <v>268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480.5</v>
      </c>
      <c r="Z340" s="4">
        <v>67.5</v>
      </c>
      <c r="AA340" s="4">
        <v>145</v>
      </c>
      <c r="AB340" s="4">
        <v>0</v>
      </c>
      <c r="AC340" s="4">
        <v>0</v>
      </c>
      <c r="AD340" s="4">
        <v>268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10">
        <f t="shared" si="20"/>
        <v>284</v>
      </c>
      <c r="AP340" s="10">
        <f t="shared" si="21"/>
        <v>480.5</v>
      </c>
      <c r="AQ340" s="1">
        <f t="shared" si="22"/>
        <v>764.5</v>
      </c>
      <c r="AR340" s="1">
        <f t="shared" si="23"/>
        <v>253.85000000000002</v>
      </c>
    </row>
    <row r="341" spans="1:44" x14ac:dyDescent="0.2">
      <c r="A341" s="3">
        <v>334</v>
      </c>
      <c r="B341" s="3" t="s">
        <v>372</v>
      </c>
      <c r="C341" s="3" t="s">
        <v>27</v>
      </c>
      <c r="D341" s="3">
        <v>0.5</v>
      </c>
      <c r="E341" s="3" t="s">
        <v>368</v>
      </c>
      <c r="F341" s="4">
        <v>729.5</v>
      </c>
      <c r="G341" s="4">
        <v>445</v>
      </c>
      <c r="H341" s="4">
        <v>284.5</v>
      </c>
      <c r="I341" s="4">
        <v>427</v>
      </c>
      <c r="J341" s="4">
        <v>104</v>
      </c>
      <c r="K341" s="4">
        <v>104</v>
      </c>
      <c r="L341" s="4">
        <v>0</v>
      </c>
      <c r="M341" s="4">
        <v>10</v>
      </c>
      <c r="N341" s="4">
        <v>28</v>
      </c>
      <c r="O341" s="4">
        <v>60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306</v>
      </c>
      <c r="Z341" s="4">
        <v>104</v>
      </c>
      <c r="AA341" s="4">
        <v>104</v>
      </c>
      <c r="AB341" s="4">
        <v>0</v>
      </c>
      <c r="AC341" s="4">
        <v>10</v>
      </c>
      <c r="AD341" s="4">
        <v>28</v>
      </c>
      <c r="AE341" s="4">
        <v>60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10">
        <f t="shared" si="20"/>
        <v>427</v>
      </c>
      <c r="AP341" s="10">
        <f t="shared" si="21"/>
        <v>306</v>
      </c>
      <c r="AQ341" s="1">
        <f t="shared" si="22"/>
        <v>733</v>
      </c>
      <c r="AR341" s="1">
        <f t="shared" si="23"/>
        <v>3.5</v>
      </c>
    </row>
    <row r="342" spans="1:44" x14ac:dyDescent="0.2">
      <c r="A342" s="3">
        <v>335</v>
      </c>
      <c r="B342" s="3" t="s">
        <v>373</v>
      </c>
      <c r="C342" s="3" t="s">
        <v>27</v>
      </c>
      <c r="D342" s="3">
        <v>1</v>
      </c>
      <c r="E342" s="3" t="s">
        <v>368</v>
      </c>
      <c r="F342" s="4">
        <v>1459</v>
      </c>
      <c r="G342" s="4">
        <v>890</v>
      </c>
      <c r="H342" s="4">
        <v>569</v>
      </c>
      <c r="I342" s="4">
        <v>873</v>
      </c>
      <c r="J342" s="4">
        <v>216</v>
      </c>
      <c r="K342" s="4">
        <v>146</v>
      </c>
      <c r="L342" s="4">
        <v>0</v>
      </c>
      <c r="M342" s="4">
        <v>60</v>
      </c>
      <c r="N342" s="4">
        <v>108</v>
      </c>
      <c r="O342" s="4">
        <v>72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602</v>
      </c>
      <c r="Z342" s="4">
        <v>216</v>
      </c>
      <c r="AA342" s="4">
        <v>146</v>
      </c>
      <c r="AB342" s="4">
        <v>0</v>
      </c>
      <c r="AC342" s="4">
        <v>60</v>
      </c>
      <c r="AD342" s="4">
        <v>108</v>
      </c>
      <c r="AE342" s="4">
        <v>72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10">
        <f t="shared" si="20"/>
        <v>873</v>
      </c>
      <c r="AP342" s="10">
        <f t="shared" si="21"/>
        <v>602</v>
      </c>
      <c r="AQ342" s="1">
        <f t="shared" si="22"/>
        <v>1475</v>
      </c>
      <c r="AR342" s="1">
        <f t="shared" si="23"/>
        <v>16</v>
      </c>
    </row>
    <row r="343" spans="1:44" x14ac:dyDescent="0.2">
      <c r="A343" s="3">
        <v>336</v>
      </c>
      <c r="B343" s="3" t="s">
        <v>374</v>
      </c>
      <c r="C343" s="3" t="s">
        <v>27</v>
      </c>
      <c r="D343" s="3">
        <v>0.5</v>
      </c>
      <c r="E343" s="3" t="s">
        <v>368</v>
      </c>
      <c r="F343" s="4">
        <v>729.5</v>
      </c>
      <c r="G343" s="4">
        <v>445</v>
      </c>
      <c r="H343" s="4">
        <v>284.5</v>
      </c>
      <c r="I343" s="4">
        <v>222</v>
      </c>
      <c r="J343" s="4">
        <v>66</v>
      </c>
      <c r="K343" s="4">
        <v>28</v>
      </c>
      <c r="L343" s="4">
        <v>0</v>
      </c>
      <c r="M343" s="4">
        <v>30</v>
      </c>
      <c r="N343" s="4">
        <v>28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144</v>
      </c>
      <c r="Z343" s="4">
        <v>58</v>
      </c>
      <c r="AA343" s="4">
        <v>28</v>
      </c>
      <c r="AB343" s="4">
        <v>0</v>
      </c>
      <c r="AC343" s="4">
        <v>30</v>
      </c>
      <c r="AD343" s="4">
        <v>28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10">
        <f t="shared" si="20"/>
        <v>222</v>
      </c>
      <c r="AP343" s="10">
        <f t="shared" si="21"/>
        <v>152</v>
      </c>
      <c r="AQ343" s="1">
        <f t="shared" si="22"/>
        <v>374</v>
      </c>
      <c r="AR343" s="1">
        <f t="shared" si="23"/>
        <v>-355.5</v>
      </c>
    </row>
    <row r="344" spans="1:44" x14ac:dyDescent="0.2">
      <c r="A344" s="3">
        <v>337</v>
      </c>
      <c r="B344" s="3" t="s">
        <v>375</v>
      </c>
      <c r="C344" s="3" t="s">
        <v>27</v>
      </c>
      <c r="D344" s="3">
        <v>1</v>
      </c>
      <c r="E344" s="3" t="s">
        <v>368</v>
      </c>
      <c r="F344" s="4">
        <v>1459</v>
      </c>
      <c r="G344" s="4">
        <v>890</v>
      </c>
      <c r="H344" s="4">
        <v>569</v>
      </c>
      <c r="I344" s="4">
        <v>882</v>
      </c>
      <c r="J344" s="4">
        <v>225.74</v>
      </c>
      <c r="K344" s="4">
        <v>105</v>
      </c>
      <c r="L344" s="4">
        <v>0</v>
      </c>
      <c r="M344" s="4">
        <v>60</v>
      </c>
      <c r="N344" s="4">
        <v>148</v>
      </c>
      <c r="O344" s="4">
        <v>36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574.74</v>
      </c>
      <c r="Z344" s="4">
        <v>225.74</v>
      </c>
      <c r="AA344" s="4">
        <v>105</v>
      </c>
      <c r="AB344" s="4">
        <v>0</v>
      </c>
      <c r="AC344" s="4">
        <v>60</v>
      </c>
      <c r="AD344" s="4">
        <v>148</v>
      </c>
      <c r="AE344" s="4">
        <v>36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10">
        <f t="shared" si="20"/>
        <v>882</v>
      </c>
      <c r="AP344" s="10">
        <f t="shared" si="21"/>
        <v>574.74</v>
      </c>
      <c r="AQ344" s="1">
        <f t="shared" si="22"/>
        <v>1456.74</v>
      </c>
      <c r="AR344" s="1">
        <f t="shared" si="23"/>
        <v>-2.2599999999999909</v>
      </c>
    </row>
    <row r="345" spans="1:44" x14ac:dyDescent="0.2">
      <c r="A345" s="3">
        <v>338</v>
      </c>
      <c r="B345" s="3" t="s">
        <v>376</v>
      </c>
      <c r="C345" s="3" t="s">
        <v>32</v>
      </c>
      <c r="D345" s="3">
        <v>1</v>
      </c>
      <c r="E345" s="3" t="s">
        <v>368</v>
      </c>
      <c r="F345" s="4">
        <v>1459</v>
      </c>
      <c r="G345" s="4">
        <v>890</v>
      </c>
      <c r="H345" s="4">
        <v>569</v>
      </c>
      <c r="I345" s="4">
        <v>818</v>
      </c>
      <c r="J345" s="4">
        <v>188.49</v>
      </c>
      <c r="K345" s="4">
        <v>111</v>
      </c>
      <c r="L345" s="4">
        <v>0</v>
      </c>
      <c r="M345" s="4">
        <v>80</v>
      </c>
      <c r="N345" s="4">
        <v>203</v>
      </c>
      <c r="O345" s="4">
        <v>72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650.49</v>
      </c>
      <c r="Z345" s="4">
        <v>188.49</v>
      </c>
      <c r="AA345" s="4">
        <v>107</v>
      </c>
      <c r="AB345" s="4">
        <v>0</v>
      </c>
      <c r="AC345" s="4">
        <v>80</v>
      </c>
      <c r="AD345" s="4">
        <v>203</v>
      </c>
      <c r="AE345" s="4">
        <v>72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10">
        <f t="shared" si="20"/>
        <v>818</v>
      </c>
      <c r="AP345" s="10">
        <f t="shared" si="21"/>
        <v>654.49</v>
      </c>
      <c r="AQ345" s="1">
        <f t="shared" si="22"/>
        <v>1472.49</v>
      </c>
      <c r="AR345" s="1">
        <f t="shared" si="23"/>
        <v>13.490000000000009</v>
      </c>
    </row>
    <row r="346" spans="1:44" x14ac:dyDescent="0.2">
      <c r="A346" s="3">
        <v>339</v>
      </c>
      <c r="B346" s="3" t="s">
        <v>377</v>
      </c>
      <c r="C346" s="3" t="s">
        <v>27</v>
      </c>
      <c r="D346" s="3">
        <v>1</v>
      </c>
      <c r="E346" s="3" t="s">
        <v>378</v>
      </c>
      <c r="F346" s="4">
        <v>1459</v>
      </c>
      <c r="G346" s="4">
        <v>890</v>
      </c>
      <c r="H346" s="4">
        <v>569</v>
      </c>
      <c r="I346" s="4">
        <v>804</v>
      </c>
      <c r="J346" s="4">
        <v>183.01</v>
      </c>
      <c r="K346" s="4">
        <v>32</v>
      </c>
      <c r="L346" s="4">
        <v>0</v>
      </c>
      <c r="M346" s="4">
        <v>410</v>
      </c>
      <c r="N346" s="4">
        <v>28</v>
      </c>
      <c r="O346" s="4">
        <v>1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539.01</v>
      </c>
      <c r="Z346" s="4">
        <v>68.010000000000005</v>
      </c>
      <c r="AA346" s="4">
        <v>32</v>
      </c>
      <c r="AB346" s="4">
        <v>0</v>
      </c>
      <c r="AC346" s="4">
        <v>410</v>
      </c>
      <c r="AD346" s="4">
        <v>28</v>
      </c>
      <c r="AE346" s="4">
        <v>1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10">
        <f t="shared" si="20"/>
        <v>804</v>
      </c>
      <c r="AP346" s="10">
        <f t="shared" si="21"/>
        <v>654.01</v>
      </c>
      <c r="AQ346" s="1">
        <f t="shared" si="22"/>
        <v>1458.01</v>
      </c>
      <c r="AR346" s="1">
        <f t="shared" si="23"/>
        <v>-0.99000000000000909</v>
      </c>
    </row>
    <row r="347" spans="1:44" x14ac:dyDescent="0.2">
      <c r="A347" s="3">
        <v>340</v>
      </c>
      <c r="B347" s="3" t="s">
        <v>379</v>
      </c>
      <c r="C347" s="3" t="s">
        <v>27</v>
      </c>
      <c r="D347" s="3">
        <v>0.2</v>
      </c>
      <c r="E347" s="3" t="s">
        <v>378</v>
      </c>
      <c r="F347" s="4">
        <v>291.8</v>
      </c>
      <c r="G347" s="4">
        <v>178</v>
      </c>
      <c r="H347" s="4">
        <v>113.8</v>
      </c>
      <c r="I347" s="4">
        <v>78</v>
      </c>
      <c r="J347" s="4">
        <v>18</v>
      </c>
      <c r="K347" s="4">
        <v>6</v>
      </c>
      <c r="L347" s="4">
        <v>0</v>
      </c>
      <c r="M347" s="4">
        <v>0</v>
      </c>
      <c r="N347" s="4">
        <v>28</v>
      </c>
      <c r="O347" s="4">
        <v>160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194</v>
      </c>
      <c r="Z347" s="4">
        <v>0</v>
      </c>
      <c r="AA347" s="4">
        <v>6</v>
      </c>
      <c r="AB347" s="4">
        <v>0</v>
      </c>
      <c r="AC347" s="4">
        <v>0</v>
      </c>
      <c r="AD347" s="4">
        <v>28</v>
      </c>
      <c r="AE347" s="4">
        <v>160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10">
        <f t="shared" si="20"/>
        <v>78</v>
      </c>
      <c r="AP347" s="10">
        <f t="shared" si="21"/>
        <v>212</v>
      </c>
      <c r="AQ347" s="1">
        <f t="shared" si="22"/>
        <v>290</v>
      </c>
      <c r="AR347" s="1">
        <f t="shared" si="23"/>
        <v>-1.8000000000000114</v>
      </c>
    </row>
    <row r="348" spans="1:44" x14ac:dyDescent="0.2">
      <c r="A348" s="3">
        <v>341</v>
      </c>
      <c r="B348" s="3" t="s">
        <v>68</v>
      </c>
      <c r="C348" s="3" t="s">
        <v>27</v>
      </c>
      <c r="D348" s="3">
        <v>1</v>
      </c>
      <c r="E348" s="3" t="s">
        <v>378</v>
      </c>
      <c r="F348" s="4">
        <v>1459</v>
      </c>
      <c r="G348" s="4">
        <v>890</v>
      </c>
      <c r="H348" s="4">
        <v>569</v>
      </c>
      <c r="I348" s="4">
        <v>880.5</v>
      </c>
      <c r="J348" s="4">
        <v>215.05</v>
      </c>
      <c r="K348" s="4">
        <v>74</v>
      </c>
      <c r="L348" s="4">
        <v>0</v>
      </c>
      <c r="M348" s="4">
        <v>330</v>
      </c>
      <c r="N348" s="4">
        <v>28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395.05</v>
      </c>
      <c r="Z348" s="4">
        <v>37.049999999999997</v>
      </c>
      <c r="AA348" s="4">
        <v>0</v>
      </c>
      <c r="AB348" s="4">
        <v>0</v>
      </c>
      <c r="AC348" s="4">
        <v>330</v>
      </c>
      <c r="AD348" s="4">
        <v>28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10">
        <f t="shared" si="20"/>
        <v>880.5</v>
      </c>
      <c r="AP348" s="10">
        <f t="shared" si="21"/>
        <v>647.04999999999995</v>
      </c>
      <c r="AQ348" s="1">
        <f t="shared" si="22"/>
        <v>1527.55</v>
      </c>
      <c r="AR348" s="1">
        <f t="shared" si="23"/>
        <v>68.549999999999955</v>
      </c>
    </row>
    <row r="349" spans="1:44" x14ac:dyDescent="0.2">
      <c r="A349" s="3">
        <v>342</v>
      </c>
      <c r="B349" s="3" t="s">
        <v>380</v>
      </c>
      <c r="C349" s="3" t="s">
        <v>27</v>
      </c>
      <c r="D349" s="3">
        <v>1</v>
      </c>
      <c r="E349" s="3" t="s">
        <v>378</v>
      </c>
      <c r="F349" s="4">
        <v>1459</v>
      </c>
      <c r="G349" s="4">
        <v>890</v>
      </c>
      <c r="H349" s="4">
        <v>569</v>
      </c>
      <c r="I349" s="4">
        <v>885.5</v>
      </c>
      <c r="J349" s="4">
        <v>232</v>
      </c>
      <c r="K349" s="4">
        <v>26</v>
      </c>
      <c r="L349" s="4">
        <v>0</v>
      </c>
      <c r="M349" s="4">
        <v>180</v>
      </c>
      <c r="N349" s="4">
        <v>28</v>
      </c>
      <c r="O349" s="4">
        <v>108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398</v>
      </c>
      <c r="Z349" s="4">
        <v>56</v>
      </c>
      <c r="AA349" s="4">
        <v>26</v>
      </c>
      <c r="AB349" s="4">
        <v>0</v>
      </c>
      <c r="AC349" s="4">
        <v>180</v>
      </c>
      <c r="AD349" s="4">
        <v>28</v>
      </c>
      <c r="AE349" s="4">
        <v>108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10">
        <f t="shared" si="20"/>
        <v>885.5</v>
      </c>
      <c r="AP349" s="10">
        <f t="shared" si="21"/>
        <v>574</v>
      </c>
      <c r="AQ349" s="1">
        <f t="shared" si="22"/>
        <v>1459.5</v>
      </c>
      <c r="AR349" s="1">
        <f t="shared" si="23"/>
        <v>0.5</v>
      </c>
    </row>
    <row r="350" spans="1:44" x14ac:dyDescent="0.2">
      <c r="A350" s="3">
        <v>343</v>
      </c>
      <c r="B350" s="3" t="s">
        <v>381</v>
      </c>
      <c r="C350" s="3" t="s">
        <v>32</v>
      </c>
      <c r="D350" s="3">
        <v>0.5</v>
      </c>
      <c r="E350" s="3" t="s">
        <v>378</v>
      </c>
      <c r="F350" s="4">
        <v>729.5</v>
      </c>
      <c r="G350" s="4">
        <v>445</v>
      </c>
      <c r="H350" s="4">
        <v>284.5</v>
      </c>
      <c r="I350" s="4">
        <v>445</v>
      </c>
      <c r="J350" s="4">
        <v>97.3</v>
      </c>
      <c r="K350" s="4">
        <v>28</v>
      </c>
      <c r="L350" s="4">
        <v>0</v>
      </c>
      <c r="M350" s="4">
        <v>0</v>
      </c>
      <c r="N350" s="4">
        <v>100</v>
      </c>
      <c r="O350" s="4">
        <v>108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236</v>
      </c>
      <c r="Z350" s="4">
        <v>0</v>
      </c>
      <c r="AA350" s="4">
        <v>28</v>
      </c>
      <c r="AB350" s="4">
        <v>0</v>
      </c>
      <c r="AC350" s="4">
        <v>0</v>
      </c>
      <c r="AD350" s="4">
        <v>100</v>
      </c>
      <c r="AE350" s="4">
        <v>108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10">
        <f t="shared" si="20"/>
        <v>445</v>
      </c>
      <c r="AP350" s="10">
        <f t="shared" si="21"/>
        <v>333.3</v>
      </c>
      <c r="AQ350" s="1">
        <f t="shared" si="22"/>
        <v>778.3</v>
      </c>
      <c r="AR350" s="1">
        <f t="shared" si="23"/>
        <v>48.799999999999955</v>
      </c>
    </row>
    <row r="351" spans="1:44" x14ac:dyDescent="0.2">
      <c r="A351" s="3">
        <v>344</v>
      </c>
      <c r="B351" s="3" t="s">
        <v>382</v>
      </c>
      <c r="C351" s="3" t="s">
        <v>32</v>
      </c>
      <c r="D351" s="3">
        <v>0.1</v>
      </c>
      <c r="E351" s="3" t="s">
        <v>378</v>
      </c>
      <c r="F351" s="4">
        <v>145.9</v>
      </c>
      <c r="G351" s="4">
        <v>89</v>
      </c>
      <c r="H351" s="4">
        <v>56.9</v>
      </c>
      <c r="I351" s="4">
        <v>43</v>
      </c>
      <c r="J351" s="4">
        <v>31.99</v>
      </c>
      <c r="K351" s="4">
        <v>0</v>
      </c>
      <c r="L351" s="4">
        <v>0</v>
      </c>
      <c r="M351" s="4">
        <v>0</v>
      </c>
      <c r="N351" s="4">
        <v>28</v>
      </c>
      <c r="O351" s="4">
        <v>52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95.99</v>
      </c>
      <c r="Z351" s="4">
        <v>15.99</v>
      </c>
      <c r="AA351" s="4">
        <v>0</v>
      </c>
      <c r="AB351" s="4">
        <v>0</v>
      </c>
      <c r="AC351" s="4">
        <v>0</v>
      </c>
      <c r="AD351" s="4">
        <v>28</v>
      </c>
      <c r="AE351" s="4">
        <v>52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10">
        <f t="shared" si="20"/>
        <v>43</v>
      </c>
      <c r="AP351" s="10">
        <f t="shared" si="21"/>
        <v>111.99</v>
      </c>
      <c r="AQ351" s="1">
        <f t="shared" si="22"/>
        <v>154.99</v>
      </c>
      <c r="AR351" s="1">
        <f t="shared" si="23"/>
        <v>9.0900000000000034</v>
      </c>
    </row>
    <row r="352" spans="1:44" x14ac:dyDescent="0.2">
      <c r="A352" s="3">
        <v>345</v>
      </c>
      <c r="B352" s="3" t="s">
        <v>383</v>
      </c>
      <c r="C352" s="3" t="s">
        <v>27</v>
      </c>
      <c r="D352" s="3">
        <v>1</v>
      </c>
      <c r="E352" s="3" t="s">
        <v>378</v>
      </c>
      <c r="F352" s="4">
        <v>1459</v>
      </c>
      <c r="G352" s="4">
        <v>890</v>
      </c>
      <c r="H352" s="4">
        <v>569</v>
      </c>
      <c r="I352" s="4">
        <v>814.46</v>
      </c>
      <c r="J352" s="4">
        <v>154</v>
      </c>
      <c r="K352" s="4">
        <v>36</v>
      </c>
      <c r="L352" s="4">
        <v>0</v>
      </c>
      <c r="M352" s="4">
        <v>300</v>
      </c>
      <c r="N352" s="4">
        <v>28</v>
      </c>
      <c r="O352" s="4">
        <v>93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541</v>
      </c>
      <c r="Z352" s="4">
        <v>84</v>
      </c>
      <c r="AA352" s="4">
        <v>36</v>
      </c>
      <c r="AB352" s="4">
        <v>0</v>
      </c>
      <c r="AC352" s="4">
        <v>300</v>
      </c>
      <c r="AD352" s="4">
        <v>28</v>
      </c>
      <c r="AE352" s="4">
        <v>93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10">
        <f t="shared" si="20"/>
        <v>814.46</v>
      </c>
      <c r="AP352" s="10">
        <f t="shared" si="21"/>
        <v>611</v>
      </c>
      <c r="AQ352" s="1">
        <f t="shared" si="22"/>
        <v>1425.46</v>
      </c>
      <c r="AR352" s="1">
        <f t="shared" si="23"/>
        <v>-33.539999999999964</v>
      </c>
    </row>
    <row r="353" spans="1:44" x14ac:dyDescent="0.2">
      <c r="A353" s="3">
        <v>346</v>
      </c>
      <c r="B353" s="3" t="s">
        <v>384</v>
      </c>
      <c r="C353" s="3" t="s">
        <v>32</v>
      </c>
      <c r="D353" s="3">
        <v>0.15</v>
      </c>
      <c r="E353" s="3" t="s">
        <v>378</v>
      </c>
      <c r="F353" s="4">
        <v>218.85</v>
      </c>
      <c r="G353" s="4">
        <v>133.5</v>
      </c>
      <c r="H353" s="4">
        <v>85.35</v>
      </c>
      <c r="I353" s="4">
        <v>96</v>
      </c>
      <c r="J353" s="4">
        <v>20</v>
      </c>
      <c r="K353" s="4">
        <v>0</v>
      </c>
      <c r="L353" s="4">
        <v>0</v>
      </c>
      <c r="M353" s="4">
        <v>0</v>
      </c>
      <c r="N353" s="4">
        <v>28</v>
      </c>
      <c r="O353" s="4">
        <v>72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100</v>
      </c>
      <c r="Z353" s="4">
        <v>0</v>
      </c>
      <c r="AA353" s="4">
        <v>0</v>
      </c>
      <c r="AB353" s="4">
        <v>0</v>
      </c>
      <c r="AC353" s="4">
        <v>0</v>
      </c>
      <c r="AD353" s="4">
        <v>28</v>
      </c>
      <c r="AE353" s="4">
        <v>72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10">
        <f t="shared" si="20"/>
        <v>96</v>
      </c>
      <c r="AP353" s="10">
        <f t="shared" si="21"/>
        <v>120</v>
      </c>
      <c r="AQ353" s="1">
        <f t="shared" si="22"/>
        <v>216</v>
      </c>
      <c r="AR353" s="1">
        <f t="shared" si="23"/>
        <v>-2.8499999999999943</v>
      </c>
    </row>
    <row r="354" spans="1:44" x14ac:dyDescent="0.2">
      <c r="A354" s="3">
        <v>347</v>
      </c>
      <c r="B354" s="3" t="s">
        <v>385</v>
      </c>
      <c r="C354" s="3" t="s">
        <v>27</v>
      </c>
      <c r="D354" s="3">
        <v>0.5</v>
      </c>
      <c r="E354" s="3" t="s">
        <v>378</v>
      </c>
      <c r="F354" s="4">
        <v>729.5</v>
      </c>
      <c r="G354" s="4">
        <v>445</v>
      </c>
      <c r="H354" s="4">
        <v>284.5</v>
      </c>
      <c r="I354" s="4">
        <v>387</v>
      </c>
      <c r="J354" s="4">
        <v>93.5</v>
      </c>
      <c r="K354" s="4">
        <v>12</v>
      </c>
      <c r="L354" s="4">
        <v>0</v>
      </c>
      <c r="M354" s="4">
        <v>150</v>
      </c>
      <c r="N354" s="4">
        <v>28</v>
      </c>
      <c r="O354" s="4">
        <v>64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292</v>
      </c>
      <c r="Z354" s="4">
        <v>38</v>
      </c>
      <c r="AA354" s="4">
        <v>12</v>
      </c>
      <c r="AB354" s="4">
        <v>0</v>
      </c>
      <c r="AC354" s="4">
        <v>150</v>
      </c>
      <c r="AD354" s="4">
        <v>28</v>
      </c>
      <c r="AE354" s="4">
        <v>64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10">
        <f t="shared" si="20"/>
        <v>387</v>
      </c>
      <c r="AP354" s="10">
        <f t="shared" si="21"/>
        <v>347.5</v>
      </c>
      <c r="AQ354" s="1">
        <f t="shared" si="22"/>
        <v>734.5</v>
      </c>
      <c r="AR354" s="1">
        <f t="shared" si="23"/>
        <v>5</v>
      </c>
    </row>
    <row r="355" spans="1:44" x14ac:dyDescent="0.2">
      <c r="A355" s="3">
        <v>348</v>
      </c>
      <c r="B355" s="3" t="s">
        <v>386</v>
      </c>
      <c r="C355" s="3" t="s">
        <v>27</v>
      </c>
      <c r="D355" s="3">
        <v>0.75</v>
      </c>
      <c r="E355" s="3" t="s">
        <v>378</v>
      </c>
      <c r="F355" s="4">
        <v>1094.25</v>
      </c>
      <c r="G355" s="4">
        <v>667.5</v>
      </c>
      <c r="H355" s="4">
        <v>426.75</v>
      </c>
      <c r="I355" s="4">
        <v>634.5</v>
      </c>
      <c r="J355" s="4">
        <v>152</v>
      </c>
      <c r="K355" s="4">
        <v>226</v>
      </c>
      <c r="L355" s="4">
        <v>0</v>
      </c>
      <c r="M355" s="4">
        <v>0</v>
      </c>
      <c r="N355" s="4">
        <v>28</v>
      </c>
      <c r="O355" s="4">
        <v>72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346</v>
      </c>
      <c r="Z355" s="4">
        <v>20</v>
      </c>
      <c r="AA355" s="4">
        <v>226</v>
      </c>
      <c r="AB355" s="4">
        <v>0</v>
      </c>
      <c r="AC355" s="4">
        <v>0</v>
      </c>
      <c r="AD355" s="4">
        <v>28</v>
      </c>
      <c r="AE355" s="4">
        <v>72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10">
        <f t="shared" si="20"/>
        <v>634.5</v>
      </c>
      <c r="AP355" s="10">
        <f t="shared" si="21"/>
        <v>478</v>
      </c>
      <c r="AQ355" s="1">
        <f t="shared" si="22"/>
        <v>1112.5</v>
      </c>
      <c r="AR355" s="1">
        <f t="shared" si="23"/>
        <v>18.25</v>
      </c>
    </row>
    <row r="356" spans="1:44" x14ac:dyDescent="0.2">
      <c r="A356" s="3">
        <v>349</v>
      </c>
      <c r="B356" s="3" t="s">
        <v>387</v>
      </c>
      <c r="C356" s="3" t="s">
        <v>36</v>
      </c>
      <c r="D356" s="3">
        <v>1</v>
      </c>
      <c r="E356" s="3" t="s">
        <v>388</v>
      </c>
      <c r="F356" s="4">
        <v>1459</v>
      </c>
      <c r="G356" s="4">
        <v>890</v>
      </c>
      <c r="H356" s="4">
        <v>569</v>
      </c>
      <c r="I356" s="4">
        <v>859.57</v>
      </c>
      <c r="J356" s="4">
        <v>121.5</v>
      </c>
      <c r="K356" s="4">
        <v>0</v>
      </c>
      <c r="L356" s="4">
        <v>0</v>
      </c>
      <c r="M356" s="4">
        <v>140</v>
      </c>
      <c r="N356" s="4">
        <v>348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488</v>
      </c>
      <c r="Z356" s="4">
        <v>0</v>
      </c>
      <c r="AA356" s="4">
        <v>0</v>
      </c>
      <c r="AB356" s="4">
        <v>0</v>
      </c>
      <c r="AC356" s="4">
        <v>140</v>
      </c>
      <c r="AD356" s="4">
        <v>348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10">
        <f t="shared" si="20"/>
        <v>859.57</v>
      </c>
      <c r="AP356" s="10">
        <f t="shared" si="21"/>
        <v>609.5</v>
      </c>
      <c r="AQ356" s="1">
        <f t="shared" si="22"/>
        <v>1469.0700000000002</v>
      </c>
      <c r="AR356" s="1">
        <f t="shared" si="23"/>
        <v>10.070000000000164</v>
      </c>
    </row>
    <row r="357" spans="1:44" x14ac:dyDescent="0.2">
      <c r="A357" s="3">
        <v>350</v>
      </c>
      <c r="B357" s="3" t="s">
        <v>389</v>
      </c>
      <c r="C357" s="3" t="s">
        <v>36</v>
      </c>
      <c r="D357" s="3">
        <v>0.35</v>
      </c>
      <c r="E357" s="3" t="s">
        <v>388</v>
      </c>
      <c r="F357" s="4">
        <v>510.65</v>
      </c>
      <c r="G357" s="4">
        <v>311.5</v>
      </c>
      <c r="H357" s="4">
        <v>199.15</v>
      </c>
      <c r="I357" s="4">
        <v>272</v>
      </c>
      <c r="J357" s="4">
        <v>61</v>
      </c>
      <c r="K357" s="4">
        <v>0</v>
      </c>
      <c r="L357" s="4">
        <v>0</v>
      </c>
      <c r="M357" s="4">
        <v>0</v>
      </c>
      <c r="N357" s="4">
        <v>68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60</v>
      </c>
      <c r="Z357" s="4">
        <v>0</v>
      </c>
      <c r="AA357" s="4">
        <v>0</v>
      </c>
      <c r="AB357" s="4">
        <v>0</v>
      </c>
      <c r="AC357" s="4">
        <v>0</v>
      </c>
      <c r="AD357" s="4">
        <v>60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10">
        <f t="shared" si="20"/>
        <v>272</v>
      </c>
      <c r="AP357" s="10">
        <f t="shared" si="21"/>
        <v>129</v>
      </c>
      <c r="AQ357" s="1">
        <f t="shared" si="22"/>
        <v>401</v>
      </c>
      <c r="AR357" s="1">
        <f t="shared" si="23"/>
        <v>-109.64999999999998</v>
      </c>
    </row>
    <row r="358" spans="1:44" x14ac:dyDescent="0.2">
      <c r="A358" s="3">
        <v>351</v>
      </c>
      <c r="B358" s="3" t="s">
        <v>390</v>
      </c>
      <c r="C358" s="3" t="s">
        <v>32</v>
      </c>
      <c r="D358" s="3">
        <v>0.5</v>
      </c>
      <c r="E358" s="3" t="s">
        <v>388</v>
      </c>
      <c r="F358" s="4">
        <v>729.5</v>
      </c>
      <c r="G358" s="4">
        <v>445</v>
      </c>
      <c r="H358" s="4">
        <v>284.5</v>
      </c>
      <c r="I358" s="4">
        <v>445</v>
      </c>
      <c r="J358" s="4">
        <v>85.5</v>
      </c>
      <c r="K358" s="4">
        <v>426</v>
      </c>
      <c r="L358" s="4">
        <v>0</v>
      </c>
      <c r="M358" s="4">
        <v>0</v>
      </c>
      <c r="N358" s="4">
        <v>28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456</v>
      </c>
      <c r="Z358" s="4">
        <v>20</v>
      </c>
      <c r="AA358" s="4">
        <v>408</v>
      </c>
      <c r="AB358" s="4">
        <v>0</v>
      </c>
      <c r="AC358" s="4">
        <v>0</v>
      </c>
      <c r="AD358" s="4">
        <v>28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10">
        <f t="shared" si="20"/>
        <v>445</v>
      </c>
      <c r="AP358" s="10">
        <f t="shared" si="21"/>
        <v>539.5</v>
      </c>
      <c r="AQ358" s="1">
        <f t="shared" si="22"/>
        <v>984.5</v>
      </c>
      <c r="AR358" s="1">
        <f t="shared" si="23"/>
        <v>255</v>
      </c>
    </row>
    <row r="359" spans="1:44" x14ac:dyDescent="0.2">
      <c r="A359" s="3">
        <v>352</v>
      </c>
      <c r="B359" s="3" t="s">
        <v>391</v>
      </c>
      <c r="C359" s="3" t="s">
        <v>27</v>
      </c>
      <c r="D359" s="3">
        <v>1.2</v>
      </c>
      <c r="E359" s="3" t="s">
        <v>388</v>
      </c>
      <c r="F359" s="4">
        <v>1750.8</v>
      </c>
      <c r="G359" s="4">
        <v>1068</v>
      </c>
      <c r="H359" s="4">
        <v>682.8</v>
      </c>
      <c r="I359" s="4">
        <v>1062.2</v>
      </c>
      <c r="J359" s="4">
        <v>158</v>
      </c>
      <c r="K359" s="4">
        <v>237</v>
      </c>
      <c r="L359" s="4">
        <v>178</v>
      </c>
      <c r="M359" s="4">
        <v>2</v>
      </c>
      <c r="N359" s="4">
        <v>108</v>
      </c>
      <c r="O359" s="4">
        <v>72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423</v>
      </c>
      <c r="Z359" s="4">
        <v>48</v>
      </c>
      <c r="AA359" s="4">
        <v>87</v>
      </c>
      <c r="AB359" s="4">
        <v>106</v>
      </c>
      <c r="AC359" s="4">
        <v>2</v>
      </c>
      <c r="AD359" s="4">
        <v>108</v>
      </c>
      <c r="AE359" s="4">
        <v>72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10">
        <f t="shared" si="20"/>
        <v>1062.2</v>
      </c>
      <c r="AP359" s="10">
        <f t="shared" si="21"/>
        <v>755</v>
      </c>
      <c r="AQ359" s="1">
        <f t="shared" si="22"/>
        <v>1817.2</v>
      </c>
      <c r="AR359" s="1">
        <f t="shared" si="23"/>
        <v>66.400000000000091</v>
      </c>
    </row>
    <row r="360" spans="1:44" x14ac:dyDescent="0.2">
      <c r="A360" s="3">
        <v>353</v>
      </c>
      <c r="B360" s="3" t="s">
        <v>392</v>
      </c>
      <c r="C360" s="3" t="s">
        <v>27</v>
      </c>
      <c r="D360" s="3">
        <v>1.25</v>
      </c>
      <c r="E360" s="3" t="s">
        <v>388</v>
      </c>
      <c r="F360" s="4">
        <v>1823.75</v>
      </c>
      <c r="G360" s="4">
        <v>1112.5</v>
      </c>
      <c r="H360" s="4">
        <v>711.25</v>
      </c>
      <c r="I360" s="4">
        <v>1112.27</v>
      </c>
      <c r="J360" s="4">
        <v>171</v>
      </c>
      <c r="K360" s="4">
        <v>382</v>
      </c>
      <c r="L360" s="4">
        <v>184.5</v>
      </c>
      <c r="M360" s="4">
        <v>142</v>
      </c>
      <c r="N360" s="4">
        <v>68</v>
      </c>
      <c r="O360" s="4">
        <v>72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502.5</v>
      </c>
      <c r="Z360" s="4">
        <v>32</v>
      </c>
      <c r="AA360" s="4">
        <v>140</v>
      </c>
      <c r="AB360" s="4">
        <v>48.5</v>
      </c>
      <c r="AC360" s="4">
        <v>142</v>
      </c>
      <c r="AD360" s="4">
        <v>68</v>
      </c>
      <c r="AE360" s="4">
        <v>72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10">
        <f t="shared" si="20"/>
        <v>1112.27</v>
      </c>
      <c r="AP360" s="10">
        <f t="shared" si="21"/>
        <v>1019.5</v>
      </c>
      <c r="AQ360" s="1">
        <f t="shared" si="22"/>
        <v>2131.77</v>
      </c>
      <c r="AR360" s="1">
        <f t="shared" si="23"/>
        <v>308.02</v>
      </c>
    </row>
    <row r="361" spans="1:44" x14ac:dyDescent="0.2">
      <c r="A361" s="3">
        <v>354</v>
      </c>
      <c r="B361" s="3" t="s">
        <v>393</v>
      </c>
      <c r="C361" s="3" t="s">
        <v>27</v>
      </c>
      <c r="D361" s="3">
        <v>1</v>
      </c>
      <c r="E361" s="3" t="s">
        <v>388</v>
      </c>
      <c r="F361" s="4">
        <v>1459</v>
      </c>
      <c r="G361" s="4">
        <v>890</v>
      </c>
      <c r="H361" s="4">
        <v>569</v>
      </c>
      <c r="I361" s="4">
        <v>819.75</v>
      </c>
      <c r="J361" s="4">
        <v>151.5</v>
      </c>
      <c r="K361" s="4">
        <v>126</v>
      </c>
      <c r="L361" s="4">
        <v>396.5</v>
      </c>
      <c r="M361" s="4">
        <v>60</v>
      </c>
      <c r="N361" s="4">
        <v>28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658.5</v>
      </c>
      <c r="Z361" s="4">
        <v>48</v>
      </c>
      <c r="AA361" s="4">
        <v>126</v>
      </c>
      <c r="AB361" s="4">
        <v>396.5</v>
      </c>
      <c r="AC361" s="4">
        <v>60</v>
      </c>
      <c r="AD361" s="4">
        <v>28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10">
        <f t="shared" si="20"/>
        <v>819.75</v>
      </c>
      <c r="AP361" s="10">
        <f t="shared" si="21"/>
        <v>762</v>
      </c>
      <c r="AQ361" s="1">
        <f t="shared" si="22"/>
        <v>1581.75</v>
      </c>
      <c r="AR361" s="1">
        <f t="shared" si="23"/>
        <v>122.75</v>
      </c>
    </row>
    <row r="362" spans="1:44" x14ac:dyDescent="0.2">
      <c r="A362" s="3">
        <v>355</v>
      </c>
      <c r="B362" s="3" t="s">
        <v>394</v>
      </c>
      <c r="C362" s="3" t="s">
        <v>27</v>
      </c>
      <c r="D362" s="3">
        <v>0.25</v>
      </c>
      <c r="E362" s="3" t="s">
        <v>388</v>
      </c>
      <c r="F362" s="4">
        <v>364.75</v>
      </c>
      <c r="G362" s="4">
        <v>222.5</v>
      </c>
      <c r="H362" s="4">
        <v>142.25</v>
      </c>
      <c r="I362" s="4">
        <v>222</v>
      </c>
      <c r="J362" s="4">
        <v>38.5</v>
      </c>
      <c r="K362" s="4">
        <v>0</v>
      </c>
      <c r="L362" s="4">
        <v>0</v>
      </c>
      <c r="M362" s="4">
        <v>2</v>
      </c>
      <c r="N362" s="4">
        <v>28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10">
        <f t="shared" si="20"/>
        <v>222</v>
      </c>
      <c r="AP362" s="10">
        <f t="shared" si="21"/>
        <v>68.5</v>
      </c>
      <c r="AQ362" s="1">
        <f t="shared" si="22"/>
        <v>290.5</v>
      </c>
      <c r="AR362" s="1">
        <f t="shared" si="23"/>
        <v>-74.25</v>
      </c>
    </row>
    <row r="363" spans="1:44" x14ac:dyDescent="0.2">
      <c r="A363" s="3">
        <v>356</v>
      </c>
      <c r="B363" s="3" t="s">
        <v>395</v>
      </c>
      <c r="C363" s="3" t="s">
        <v>27</v>
      </c>
      <c r="D363" s="3">
        <v>0.5</v>
      </c>
      <c r="E363" s="3" t="s">
        <v>388</v>
      </c>
      <c r="F363" s="4">
        <v>729.5</v>
      </c>
      <c r="G363" s="4">
        <v>445</v>
      </c>
      <c r="H363" s="4">
        <v>284.5</v>
      </c>
      <c r="I363" s="4">
        <v>441.53</v>
      </c>
      <c r="J363" s="4">
        <v>82.5</v>
      </c>
      <c r="K363" s="4">
        <v>10</v>
      </c>
      <c r="L363" s="4">
        <v>0</v>
      </c>
      <c r="M363" s="4">
        <v>0</v>
      </c>
      <c r="N363" s="4">
        <v>28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62</v>
      </c>
      <c r="Z363" s="4">
        <v>24</v>
      </c>
      <c r="AA363" s="4">
        <v>10</v>
      </c>
      <c r="AB363" s="4">
        <v>0</v>
      </c>
      <c r="AC363" s="4">
        <v>0</v>
      </c>
      <c r="AD363" s="4">
        <v>28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10">
        <f t="shared" si="20"/>
        <v>441.53</v>
      </c>
      <c r="AP363" s="10">
        <f t="shared" si="21"/>
        <v>120.5</v>
      </c>
      <c r="AQ363" s="1">
        <f t="shared" si="22"/>
        <v>562.03</v>
      </c>
      <c r="AR363" s="1">
        <f t="shared" si="23"/>
        <v>-167.47000000000003</v>
      </c>
    </row>
    <row r="364" spans="1:44" x14ac:dyDescent="0.2">
      <c r="A364" s="3">
        <v>357</v>
      </c>
      <c r="B364" s="3" t="s">
        <v>396</v>
      </c>
      <c r="C364" s="3" t="s">
        <v>32</v>
      </c>
      <c r="D364" s="3">
        <v>1</v>
      </c>
      <c r="E364" s="3" t="s">
        <v>388</v>
      </c>
      <c r="F364" s="4">
        <v>1459</v>
      </c>
      <c r="G364" s="4">
        <v>890</v>
      </c>
      <c r="H364" s="4">
        <v>569</v>
      </c>
      <c r="I364" s="4">
        <v>777.89</v>
      </c>
      <c r="J364" s="4">
        <v>124.49</v>
      </c>
      <c r="K364" s="4">
        <v>240</v>
      </c>
      <c r="L364" s="4">
        <v>72</v>
      </c>
      <c r="M364" s="4">
        <v>70</v>
      </c>
      <c r="N364" s="4">
        <v>108</v>
      </c>
      <c r="O364" s="4">
        <v>72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577.99</v>
      </c>
      <c r="Z364" s="4">
        <v>15.99</v>
      </c>
      <c r="AA364" s="4">
        <v>240</v>
      </c>
      <c r="AB364" s="4">
        <v>72</v>
      </c>
      <c r="AC364" s="4">
        <v>70</v>
      </c>
      <c r="AD364" s="4">
        <v>108</v>
      </c>
      <c r="AE364" s="4">
        <v>72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10">
        <f t="shared" si="20"/>
        <v>777.89</v>
      </c>
      <c r="AP364" s="10">
        <f t="shared" si="21"/>
        <v>686.49</v>
      </c>
      <c r="AQ364" s="1">
        <f t="shared" si="22"/>
        <v>1464.38</v>
      </c>
      <c r="AR364" s="1">
        <f t="shared" si="23"/>
        <v>5.3800000000001091</v>
      </c>
    </row>
    <row r="365" spans="1:44" x14ac:dyDescent="0.2">
      <c r="A365" s="3">
        <v>358</v>
      </c>
      <c r="B365" s="3" t="s">
        <v>397</v>
      </c>
      <c r="C365" s="3" t="s">
        <v>27</v>
      </c>
      <c r="D365" s="3">
        <v>1.5</v>
      </c>
      <c r="E365" s="3" t="s">
        <v>388</v>
      </c>
      <c r="F365" s="4">
        <v>2188.5</v>
      </c>
      <c r="G365" s="4">
        <v>1335</v>
      </c>
      <c r="H365" s="4">
        <v>853.5</v>
      </c>
      <c r="I365" s="4">
        <v>1110.1600000000001</v>
      </c>
      <c r="J365" s="4">
        <v>153.49</v>
      </c>
      <c r="K365" s="4">
        <v>230</v>
      </c>
      <c r="L365" s="4">
        <v>326.5</v>
      </c>
      <c r="M365" s="4">
        <v>235</v>
      </c>
      <c r="N365" s="4">
        <v>28</v>
      </c>
      <c r="O365" s="4">
        <v>72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963.49</v>
      </c>
      <c r="Z365" s="4">
        <v>71.989999999999995</v>
      </c>
      <c r="AA365" s="4">
        <v>230</v>
      </c>
      <c r="AB365" s="4">
        <v>326.5</v>
      </c>
      <c r="AC365" s="4">
        <v>235</v>
      </c>
      <c r="AD365" s="4">
        <v>28</v>
      </c>
      <c r="AE365" s="4">
        <v>72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10">
        <f t="shared" si="20"/>
        <v>1110.1600000000001</v>
      </c>
      <c r="AP365" s="10">
        <f t="shared" si="21"/>
        <v>1044.99</v>
      </c>
      <c r="AQ365" s="1">
        <f t="shared" si="22"/>
        <v>2155.15</v>
      </c>
      <c r="AR365" s="1">
        <f t="shared" si="23"/>
        <v>-33.349999999999909</v>
      </c>
    </row>
    <row r="366" spans="1:44" x14ac:dyDescent="0.2">
      <c r="A366" s="3">
        <v>359</v>
      </c>
      <c r="B366" s="3" t="s">
        <v>398</v>
      </c>
      <c r="C366" s="3" t="s">
        <v>27</v>
      </c>
      <c r="D366" s="3">
        <v>0.5</v>
      </c>
      <c r="E366" s="3" t="s">
        <v>388</v>
      </c>
      <c r="F366" s="4">
        <v>729.5</v>
      </c>
      <c r="G366" s="4">
        <v>445</v>
      </c>
      <c r="H366" s="4">
        <v>284.5</v>
      </c>
      <c r="I366" s="4">
        <v>444.16</v>
      </c>
      <c r="J366" s="4">
        <v>94</v>
      </c>
      <c r="K366" s="4">
        <v>15</v>
      </c>
      <c r="L366" s="4">
        <v>0</v>
      </c>
      <c r="M366" s="4">
        <v>102</v>
      </c>
      <c r="N366" s="4">
        <v>78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283</v>
      </c>
      <c r="Z366" s="4">
        <v>88</v>
      </c>
      <c r="AA366" s="4">
        <v>15</v>
      </c>
      <c r="AB366" s="4">
        <v>0</v>
      </c>
      <c r="AC366" s="4">
        <v>102</v>
      </c>
      <c r="AD366" s="4">
        <v>78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10">
        <f t="shared" si="20"/>
        <v>444.16</v>
      </c>
      <c r="AP366" s="10">
        <f t="shared" si="21"/>
        <v>289</v>
      </c>
      <c r="AQ366" s="1">
        <f t="shared" si="22"/>
        <v>733.16000000000008</v>
      </c>
      <c r="AR366" s="1">
        <f t="shared" si="23"/>
        <v>3.6600000000000819</v>
      </c>
    </row>
    <row r="367" spans="1:44" x14ac:dyDescent="0.2">
      <c r="A367" s="3">
        <v>360</v>
      </c>
      <c r="B367" s="3" t="s">
        <v>399</v>
      </c>
      <c r="C367" s="3" t="s">
        <v>27</v>
      </c>
      <c r="D367" s="3">
        <v>1</v>
      </c>
      <c r="E367" s="3" t="s">
        <v>388</v>
      </c>
      <c r="F367" s="4">
        <v>1459</v>
      </c>
      <c r="G367" s="4">
        <v>890</v>
      </c>
      <c r="H367" s="4">
        <v>569</v>
      </c>
      <c r="I367" s="4">
        <v>888.39</v>
      </c>
      <c r="J367" s="4">
        <v>161.51</v>
      </c>
      <c r="K367" s="4">
        <v>134</v>
      </c>
      <c r="L367" s="4">
        <v>364</v>
      </c>
      <c r="M367" s="4">
        <v>115</v>
      </c>
      <c r="N367" s="4">
        <v>28</v>
      </c>
      <c r="O367" s="4">
        <v>1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529.01</v>
      </c>
      <c r="Z367" s="4">
        <v>48.01</v>
      </c>
      <c r="AA367" s="4">
        <v>134</v>
      </c>
      <c r="AB367" s="4">
        <v>203</v>
      </c>
      <c r="AC367" s="4">
        <v>115</v>
      </c>
      <c r="AD367" s="4">
        <v>28</v>
      </c>
      <c r="AE367" s="4">
        <v>1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10">
        <f t="shared" si="20"/>
        <v>888.39</v>
      </c>
      <c r="AP367" s="10">
        <f t="shared" si="21"/>
        <v>803.51</v>
      </c>
      <c r="AQ367" s="1">
        <f t="shared" si="22"/>
        <v>1691.9</v>
      </c>
      <c r="AR367" s="1">
        <f t="shared" si="23"/>
        <v>232.90000000000009</v>
      </c>
    </row>
    <row r="368" spans="1:44" x14ac:dyDescent="0.2">
      <c r="A368" s="3">
        <v>361</v>
      </c>
      <c r="B368" s="3" t="s">
        <v>400</v>
      </c>
      <c r="C368" s="3" t="s">
        <v>27</v>
      </c>
      <c r="D368" s="3">
        <v>0.5</v>
      </c>
      <c r="E368" s="3" t="s">
        <v>388</v>
      </c>
      <c r="F368" s="4">
        <v>729.5</v>
      </c>
      <c r="G368" s="4">
        <v>445</v>
      </c>
      <c r="H368" s="4">
        <v>284.5</v>
      </c>
      <c r="I368" s="4">
        <v>444</v>
      </c>
      <c r="J368" s="4">
        <v>103</v>
      </c>
      <c r="K368" s="4">
        <v>152</v>
      </c>
      <c r="L368" s="4">
        <v>0</v>
      </c>
      <c r="M368" s="4">
        <v>0</v>
      </c>
      <c r="N368" s="4">
        <v>28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216</v>
      </c>
      <c r="Z368" s="4">
        <v>36</v>
      </c>
      <c r="AA368" s="4">
        <v>152</v>
      </c>
      <c r="AB368" s="4">
        <v>0</v>
      </c>
      <c r="AC368" s="4">
        <v>0</v>
      </c>
      <c r="AD368" s="4">
        <v>28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10">
        <f t="shared" si="20"/>
        <v>444</v>
      </c>
      <c r="AP368" s="10">
        <f t="shared" si="21"/>
        <v>283</v>
      </c>
      <c r="AQ368" s="1">
        <f t="shared" si="22"/>
        <v>727</v>
      </c>
      <c r="AR368" s="1">
        <f t="shared" si="23"/>
        <v>-2.5</v>
      </c>
    </row>
    <row r="369" spans="1:44" x14ac:dyDescent="0.2">
      <c r="A369" s="3">
        <v>362</v>
      </c>
      <c r="B369" s="3" t="s">
        <v>401</v>
      </c>
      <c r="C369" s="3" t="s">
        <v>27</v>
      </c>
      <c r="D369" s="3">
        <v>1.5</v>
      </c>
      <c r="E369" s="3" t="s">
        <v>388</v>
      </c>
      <c r="F369" s="4">
        <v>2188.5</v>
      </c>
      <c r="G369" s="4">
        <v>1335</v>
      </c>
      <c r="H369" s="4">
        <v>853.5</v>
      </c>
      <c r="I369" s="4">
        <v>1133.5</v>
      </c>
      <c r="J369" s="4">
        <v>146.49</v>
      </c>
      <c r="K369" s="4">
        <v>218.5</v>
      </c>
      <c r="L369" s="4">
        <v>0</v>
      </c>
      <c r="M369" s="4">
        <v>122</v>
      </c>
      <c r="N369" s="4">
        <v>498</v>
      </c>
      <c r="O369" s="4">
        <v>72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978.49</v>
      </c>
      <c r="Z369" s="4">
        <v>67.989999999999995</v>
      </c>
      <c r="AA369" s="4">
        <v>218.5</v>
      </c>
      <c r="AB369" s="4">
        <v>0</v>
      </c>
      <c r="AC369" s="4">
        <v>122</v>
      </c>
      <c r="AD369" s="4">
        <v>498</v>
      </c>
      <c r="AE369" s="4">
        <v>72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10">
        <f t="shared" si="20"/>
        <v>1133.5</v>
      </c>
      <c r="AP369" s="10">
        <f t="shared" si="21"/>
        <v>1056.99</v>
      </c>
      <c r="AQ369" s="1">
        <f t="shared" si="22"/>
        <v>2190.4899999999998</v>
      </c>
      <c r="AR369" s="1">
        <f t="shared" si="23"/>
        <v>1.9899999999997817</v>
      </c>
    </row>
    <row r="370" spans="1:44" x14ac:dyDescent="0.2">
      <c r="A370" s="3">
        <v>363</v>
      </c>
      <c r="B370" s="3" t="s">
        <v>402</v>
      </c>
      <c r="C370" s="3" t="s">
        <v>32</v>
      </c>
      <c r="D370" s="3">
        <v>0.5</v>
      </c>
      <c r="E370" s="3" t="s">
        <v>388</v>
      </c>
      <c r="F370" s="4">
        <v>729.5</v>
      </c>
      <c r="G370" s="4">
        <v>445</v>
      </c>
      <c r="H370" s="4">
        <v>284.5</v>
      </c>
      <c r="I370" s="4">
        <v>432.1</v>
      </c>
      <c r="J370" s="4">
        <v>89.51</v>
      </c>
      <c r="K370" s="4">
        <v>73</v>
      </c>
      <c r="L370" s="4">
        <v>110</v>
      </c>
      <c r="M370" s="4">
        <v>0</v>
      </c>
      <c r="N370" s="4">
        <v>28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215.01</v>
      </c>
      <c r="Z370" s="4">
        <v>4.01</v>
      </c>
      <c r="AA370" s="4">
        <v>73</v>
      </c>
      <c r="AB370" s="4">
        <v>110</v>
      </c>
      <c r="AC370" s="4">
        <v>0</v>
      </c>
      <c r="AD370" s="4">
        <v>28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10">
        <f t="shared" si="20"/>
        <v>432.1</v>
      </c>
      <c r="AP370" s="10">
        <f t="shared" si="21"/>
        <v>300.51</v>
      </c>
      <c r="AQ370" s="1">
        <f t="shared" si="22"/>
        <v>732.61</v>
      </c>
      <c r="AR370" s="1">
        <f t="shared" si="23"/>
        <v>3.1100000000000136</v>
      </c>
    </row>
    <row r="371" spans="1:44" x14ac:dyDescent="0.2">
      <c r="A371" s="3">
        <v>364</v>
      </c>
      <c r="B371" s="3" t="s">
        <v>403</v>
      </c>
      <c r="C371" s="3" t="s">
        <v>27</v>
      </c>
      <c r="D371" s="3">
        <v>1.5</v>
      </c>
      <c r="E371" s="3" t="s">
        <v>388</v>
      </c>
      <c r="F371" s="4">
        <v>2188.5</v>
      </c>
      <c r="G371" s="4">
        <v>1335</v>
      </c>
      <c r="H371" s="4">
        <v>853.5</v>
      </c>
      <c r="I371" s="4">
        <v>1333.53</v>
      </c>
      <c r="J371" s="4">
        <v>214.51</v>
      </c>
      <c r="K371" s="4">
        <v>114.5</v>
      </c>
      <c r="L371" s="4">
        <v>0</v>
      </c>
      <c r="M371" s="4">
        <v>60</v>
      </c>
      <c r="N371" s="4">
        <v>148</v>
      </c>
      <c r="O371" s="4">
        <v>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423.51</v>
      </c>
      <c r="Z371" s="4">
        <v>100.01</v>
      </c>
      <c r="AA371" s="4">
        <v>114.5</v>
      </c>
      <c r="AB371" s="4">
        <v>0</v>
      </c>
      <c r="AC371" s="4">
        <v>60</v>
      </c>
      <c r="AD371" s="4">
        <v>148</v>
      </c>
      <c r="AE371" s="4">
        <v>1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10">
        <f t="shared" si="20"/>
        <v>1333.53</v>
      </c>
      <c r="AP371" s="10">
        <f t="shared" si="21"/>
        <v>538.01</v>
      </c>
      <c r="AQ371" s="1">
        <f t="shared" si="22"/>
        <v>1871.54</v>
      </c>
      <c r="AR371" s="1">
        <f t="shared" si="23"/>
        <v>-316.96000000000004</v>
      </c>
    </row>
    <row r="372" spans="1:44" x14ac:dyDescent="0.2">
      <c r="A372" s="3">
        <v>365</v>
      </c>
      <c r="B372" s="3" t="s">
        <v>404</v>
      </c>
      <c r="C372" s="3" t="s">
        <v>36</v>
      </c>
      <c r="D372" s="3">
        <v>0.35</v>
      </c>
      <c r="E372" s="3" t="s">
        <v>388</v>
      </c>
      <c r="F372" s="4">
        <v>510.65</v>
      </c>
      <c r="G372" s="4">
        <v>311.5</v>
      </c>
      <c r="H372" s="4">
        <v>199.15</v>
      </c>
      <c r="I372" s="4">
        <v>275.5</v>
      </c>
      <c r="J372" s="4">
        <v>27</v>
      </c>
      <c r="K372" s="4">
        <v>4</v>
      </c>
      <c r="L372" s="4">
        <v>0</v>
      </c>
      <c r="M372" s="4">
        <v>50</v>
      </c>
      <c r="N372" s="4">
        <v>68</v>
      </c>
      <c r="O372" s="4">
        <v>108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230</v>
      </c>
      <c r="Z372" s="4">
        <v>0</v>
      </c>
      <c r="AA372" s="4">
        <v>4</v>
      </c>
      <c r="AB372" s="4">
        <v>0</v>
      </c>
      <c r="AC372" s="4">
        <v>50</v>
      </c>
      <c r="AD372" s="4">
        <v>68</v>
      </c>
      <c r="AE372" s="4">
        <v>108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10">
        <f t="shared" si="20"/>
        <v>275.5</v>
      </c>
      <c r="AP372" s="10">
        <f t="shared" si="21"/>
        <v>257</v>
      </c>
      <c r="AQ372" s="1">
        <f t="shared" si="22"/>
        <v>532.5</v>
      </c>
      <c r="AR372" s="1">
        <f t="shared" si="23"/>
        <v>21.850000000000023</v>
      </c>
    </row>
    <row r="373" spans="1:44" x14ac:dyDescent="0.2">
      <c r="A373" s="3">
        <v>366</v>
      </c>
      <c r="B373" s="3" t="s">
        <v>405</v>
      </c>
      <c r="C373" s="3" t="s">
        <v>27</v>
      </c>
      <c r="D373" s="3">
        <v>0.25</v>
      </c>
      <c r="E373" s="3" t="s">
        <v>388</v>
      </c>
      <c r="F373" s="4">
        <v>364.75</v>
      </c>
      <c r="G373" s="4">
        <v>222.5</v>
      </c>
      <c r="H373" s="4">
        <v>142.25</v>
      </c>
      <c r="I373" s="4">
        <v>179</v>
      </c>
      <c r="J373" s="4">
        <v>0</v>
      </c>
      <c r="K373" s="4">
        <v>0</v>
      </c>
      <c r="L373" s="4">
        <v>0</v>
      </c>
      <c r="M373" s="4">
        <v>25</v>
      </c>
      <c r="N373" s="4">
        <v>28</v>
      </c>
      <c r="O373" s="4">
        <v>72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125</v>
      </c>
      <c r="Z373" s="4">
        <v>0</v>
      </c>
      <c r="AA373" s="4">
        <v>0</v>
      </c>
      <c r="AB373" s="4">
        <v>0</v>
      </c>
      <c r="AC373" s="4">
        <v>25</v>
      </c>
      <c r="AD373" s="4">
        <v>28</v>
      </c>
      <c r="AE373" s="4">
        <v>72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10">
        <f t="shared" si="20"/>
        <v>179</v>
      </c>
      <c r="AP373" s="10">
        <f t="shared" si="21"/>
        <v>125</v>
      </c>
      <c r="AQ373" s="1">
        <f t="shared" si="22"/>
        <v>304</v>
      </c>
      <c r="AR373" s="1">
        <f t="shared" si="23"/>
        <v>-60.75</v>
      </c>
    </row>
    <row r="374" spans="1:44" x14ac:dyDescent="0.2">
      <c r="A374" s="3">
        <v>367</v>
      </c>
      <c r="B374" s="3" t="s">
        <v>406</v>
      </c>
      <c r="C374" s="3" t="s">
        <v>27</v>
      </c>
      <c r="D374" s="3">
        <v>1.5</v>
      </c>
      <c r="E374" s="3" t="s">
        <v>388</v>
      </c>
      <c r="F374" s="4">
        <v>2188.5</v>
      </c>
      <c r="G374" s="4">
        <v>1335</v>
      </c>
      <c r="H374" s="4">
        <v>853.5</v>
      </c>
      <c r="I374" s="4">
        <v>1293.45</v>
      </c>
      <c r="J374" s="4">
        <v>224.49</v>
      </c>
      <c r="K374" s="4">
        <v>91</v>
      </c>
      <c r="L374" s="4">
        <v>0</v>
      </c>
      <c r="M374" s="4">
        <v>422</v>
      </c>
      <c r="N374" s="4">
        <v>28</v>
      </c>
      <c r="O374" s="4">
        <v>144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796.99</v>
      </c>
      <c r="Z374" s="4">
        <v>111.99</v>
      </c>
      <c r="AA374" s="4">
        <v>91</v>
      </c>
      <c r="AB374" s="4">
        <v>0</v>
      </c>
      <c r="AC374" s="4">
        <v>422</v>
      </c>
      <c r="AD374" s="4">
        <v>28</v>
      </c>
      <c r="AE374" s="4">
        <v>144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10">
        <f t="shared" si="20"/>
        <v>1293.45</v>
      </c>
      <c r="AP374" s="10">
        <f t="shared" si="21"/>
        <v>909.49</v>
      </c>
      <c r="AQ374" s="1">
        <f t="shared" si="22"/>
        <v>2202.94</v>
      </c>
      <c r="AR374" s="1">
        <f t="shared" si="23"/>
        <v>14.440000000000055</v>
      </c>
    </row>
    <row r="375" spans="1:44" x14ac:dyDescent="0.2">
      <c r="A375" s="3">
        <v>368</v>
      </c>
      <c r="B375" s="3" t="s">
        <v>407</v>
      </c>
      <c r="C375" s="3" t="s">
        <v>27</v>
      </c>
      <c r="D375" s="3">
        <v>0.5</v>
      </c>
      <c r="E375" s="3" t="s">
        <v>388</v>
      </c>
      <c r="F375" s="4">
        <v>729.5</v>
      </c>
      <c r="G375" s="4">
        <v>445</v>
      </c>
      <c r="H375" s="4">
        <v>284.5</v>
      </c>
      <c r="I375" s="4">
        <v>276.60000000000002</v>
      </c>
      <c r="J375" s="4">
        <v>32.5</v>
      </c>
      <c r="K375" s="4">
        <v>9</v>
      </c>
      <c r="L375" s="4">
        <v>0</v>
      </c>
      <c r="M375" s="4">
        <v>0</v>
      </c>
      <c r="N375" s="4">
        <v>28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5</v>
      </c>
      <c r="Z375" s="4">
        <v>0</v>
      </c>
      <c r="AA375" s="4">
        <v>5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10">
        <f t="shared" si="20"/>
        <v>276.60000000000002</v>
      </c>
      <c r="AP375" s="10">
        <f t="shared" si="21"/>
        <v>69.5</v>
      </c>
      <c r="AQ375" s="1">
        <f t="shared" si="22"/>
        <v>346.1</v>
      </c>
      <c r="AR375" s="1">
        <f t="shared" si="23"/>
        <v>-383.4</v>
      </c>
    </row>
    <row r="376" spans="1:44" x14ac:dyDescent="0.2">
      <c r="A376" s="3">
        <v>369</v>
      </c>
      <c r="B376" s="3" t="s">
        <v>408</v>
      </c>
      <c r="C376" s="3" t="s">
        <v>36</v>
      </c>
      <c r="D376" s="3">
        <v>0.35</v>
      </c>
      <c r="E376" s="3" t="s">
        <v>388</v>
      </c>
      <c r="F376" s="4">
        <v>510.65</v>
      </c>
      <c r="G376" s="4">
        <v>311.5</v>
      </c>
      <c r="H376" s="4">
        <v>199.15</v>
      </c>
      <c r="I376" s="4">
        <v>240</v>
      </c>
      <c r="J376" s="4">
        <v>54</v>
      </c>
      <c r="K376" s="4">
        <v>0</v>
      </c>
      <c r="L376" s="4">
        <v>0</v>
      </c>
      <c r="M376" s="4">
        <v>0</v>
      </c>
      <c r="N376" s="4">
        <v>28</v>
      </c>
      <c r="O376" s="4">
        <v>144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172</v>
      </c>
      <c r="Z376" s="4">
        <v>0</v>
      </c>
      <c r="AA376" s="4">
        <v>0</v>
      </c>
      <c r="AB376" s="4">
        <v>0</v>
      </c>
      <c r="AC376" s="4">
        <v>0</v>
      </c>
      <c r="AD376" s="4">
        <v>28</v>
      </c>
      <c r="AE376" s="4">
        <v>144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10">
        <f t="shared" si="20"/>
        <v>240</v>
      </c>
      <c r="AP376" s="10">
        <f t="shared" si="21"/>
        <v>226</v>
      </c>
      <c r="AQ376" s="1">
        <f t="shared" si="22"/>
        <v>466</v>
      </c>
      <c r="AR376" s="1">
        <f t="shared" si="23"/>
        <v>-44.649999999999977</v>
      </c>
    </row>
    <row r="377" spans="1:44" x14ac:dyDescent="0.2">
      <c r="A377" s="3">
        <v>370</v>
      </c>
      <c r="B377" s="3" t="s">
        <v>409</v>
      </c>
      <c r="C377" s="3" t="s">
        <v>27</v>
      </c>
      <c r="D377" s="3">
        <v>0.5</v>
      </c>
      <c r="E377" s="3" t="s">
        <v>388</v>
      </c>
      <c r="F377" s="4">
        <v>729.5</v>
      </c>
      <c r="G377" s="4">
        <v>445</v>
      </c>
      <c r="H377" s="4">
        <v>284.5</v>
      </c>
      <c r="I377" s="4">
        <v>444.6</v>
      </c>
      <c r="J377" s="4">
        <v>105</v>
      </c>
      <c r="K377" s="4">
        <v>50</v>
      </c>
      <c r="L377" s="4">
        <v>0</v>
      </c>
      <c r="M377" s="4">
        <v>0</v>
      </c>
      <c r="N377" s="4">
        <v>28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126</v>
      </c>
      <c r="Z377" s="4">
        <v>56</v>
      </c>
      <c r="AA377" s="4">
        <v>50</v>
      </c>
      <c r="AB377" s="4">
        <v>0</v>
      </c>
      <c r="AC377" s="4">
        <v>0</v>
      </c>
      <c r="AD377" s="4">
        <v>20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10">
        <f t="shared" si="20"/>
        <v>444.6</v>
      </c>
      <c r="AP377" s="10">
        <f t="shared" si="21"/>
        <v>183</v>
      </c>
      <c r="AQ377" s="1">
        <f t="shared" si="22"/>
        <v>627.6</v>
      </c>
      <c r="AR377" s="1">
        <f t="shared" si="23"/>
        <v>-101.89999999999998</v>
      </c>
    </row>
    <row r="378" spans="1:44" x14ac:dyDescent="0.2">
      <c r="A378" s="3">
        <v>371</v>
      </c>
      <c r="B378" s="3" t="s">
        <v>410</v>
      </c>
      <c r="C378" s="3" t="s">
        <v>32</v>
      </c>
      <c r="D378" s="3">
        <v>1</v>
      </c>
      <c r="E378" s="3" t="s">
        <v>388</v>
      </c>
      <c r="F378" s="4">
        <v>1459</v>
      </c>
      <c r="G378" s="4">
        <v>890</v>
      </c>
      <c r="H378" s="4">
        <v>569</v>
      </c>
      <c r="I378" s="4">
        <v>751.5</v>
      </c>
      <c r="J378" s="4">
        <v>159</v>
      </c>
      <c r="K378" s="4">
        <v>4</v>
      </c>
      <c r="L378" s="4">
        <v>0</v>
      </c>
      <c r="M378" s="4">
        <v>80</v>
      </c>
      <c r="N378" s="4">
        <v>68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172.01</v>
      </c>
      <c r="Z378" s="4">
        <v>20.010000000000002</v>
      </c>
      <c r="AA378" s="4">
        <v>4</v>
      </c>
      <c r="AB378" s="4">
        <v>0</v>
      </c>
      <c r="AC378" s="4">
        <v>80</v>
      </c>
      <c r="AD378" s="4">
        <v>68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10">
        <f t="shared" si="20"/>
        <v>751.5</v>
      </c>
      <c r="AP378" s="10">
        <f t="shared" si="21"/>
        <v>311</v>
      </c>
      <c r="AQ378" s="1">
        <f t="shared" si="22"/>
        <v>1062.5</v>
      </c>
      <c r="AR378" s="1">
        <f t="shared" si="23"/>
        <v>-396.5</v>
      </c>
    </row>
    <row r="379" spans="1:44" x14ac:dyDescent="0.2">
      <c r="A379" s="3">
        <v>372</v>
      </c>
      <c r="B379" s="3" t="s">
        <v>411</v>
      </c>
      <c r="C379" s="3" t="s">
        <v>27</v>
      </c>
      <c r="D379" s="3">
        <v>1.5</v>
      </c>
      <c r="E379" s="3" t="s">
        <v>388</v>
      </c>
      <c r="F379" s="4">
        <v>2188.5</v>
      </c>
      <c r="G379" s="4">
        <v>1335</v>
      </c>
      <c r="H379" s="4">
        <v>853.5</v>
      </c>
      <c r="I379" s="4">
        <v>1014.27</v>
      </c>
      <c r="J379" s="4">
        <v>143.49</v>
      </c>
      <c r="K379" s="4">
        <v>147</v>
      </c>
      <c r="L379" s="4">
        <v>362.5</v>
      </c>
      <c r="M379" s="4">
        <v>269</v>
      </c>
      <c r="N379" s="4">
        <v>108</v>
      </c>
      <c r="O379" s="4">
        <v>144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1082.49</v>
      </c>
      <c r="Z379" s="4">
        <v>51.99</v>
      </c>
      <c r="AA379" s="4">
        <v>147</v>
      </c>
      <c r="AB379" s="4">
        <v>362.5</v>
      </c>
      <c r="AC379" s="4">
        <v>269</v>
      </c>
      <c r="AD379" s="4">
        <v>108</v>
      </c>
      <c r="AE379" s="4">
        <v>144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10">
        <f t="shared" si="20"/>
        <v>1014.27</v>
      </c>
      <c r="AP379" s="10">
        <f t="shared" si="21"/>
        <v>1173.99</v>
      </c>
      <c r="AQ379" s="1">
        <f t="shared" si="22"/>
        <v>2188.2600000000002</v>
      </c>
      <c r="AR379" s="1">
        <f t="shared" si="23"/>
        <v>-0.23999999999978172</v>
      </c>
    </row>
    <row r="380" spans="1:44" x14ac:dyDescent="0.2">
      <c r="A380" s="3">
        <v>373</v>
      </c>
      <c r="B380" s="3" t="s">
        <v>412</v>
      </c>
      <c r="C380" s="3" t="s">
        <v>27</v>
      </c>
      <c r="D380" s="3">
        <v>1.5</v>
      </c>
      <c r="E380" s="3" t="s">
        <v>388</v>
      </c>
      <c r="F380" s="4">
        <v>2188.5</v>
      </c>
      <c r="G380" s="4">
        <v>1335</v>
      </c>
      <c r="H380" s="4">
        <v>853.5</v>
      </c>
      <c r="I380" s="4">
        <v>1290.17</v>
      </c>
      <c r="J380" s="4">
        <v>181.51</v>
      </c>
      <c r="K380" s="4">
        <v>34</v>
      </c>
      <c r="L380" s="4">
        <v>214</v>
      </c>
      <c r="M380" s="4">
        <v>62</v>
      </c>
      <c r="N380" s="4">
        <v>68</v>
      </c>
      <c r="O380" s="4">
        <v>36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490.01</v>
      </c>
      <c r="Z380" s="4">
        <v>76.010000000000005</v>
      </c>
      <c r="AA380" s="4">
        <v>34</v>
      </c>
      <c r="AB380" s="4">
        <v>214</v>
      </c>
      <c r="AC380" s="4">
        <v>62</v>
      </c>
      <c r="AD380" s="4">
        <v>68</v>
      </c>
      <c r="AE380" s="4">
        <v>36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10">
        <f t="shared" si="20"/>
        <v>1290.17</v>
      </c>
      <c r="AP380" s="10">
        <f t="shared" si="21"/>
        <v>595.51</v>
      </c>
      <c r="AQ380" s="1">
        <f t="shared" si="22"/>
        <v>1885.68</v>
      </c>
      <c r="AR380" s="1">
        <f t="shared" si="23"/>
        <v>-302.81999999999994</v>
      </c>
    </row>
    <row r="381" spans="1:44" x14ac:dyDescent="0.2">
      <c r="A381" s="3">
        <v>374</v>
      </c>
      <c r="B381" s="3" t="s">
        <v>273</v>
      </c>
      <c r="C381" s="3" t="s">
        <v>27</v>
      </c>
      <c r="D381" s="3">
        <v>1.1000000000000001</v>
      </c>
      <c r="E381" s="3" t="s">
        <v>388</v>
      </c>
      <c r="F381" s="4">
        <v>1604.9</v>
      </c>
      <c r="G381" s="4">
        <v>979</v>
      </c>
      <c r="H381" s="4">
        <v>625.9</v>
      </c>
      <c r="I381" s="4">
        <v>879.96</v>
      </c>
      <c r="J381" s="4">
        <v>109.5</v>
      </c>
      <c r="K381" s="4">
        <v>176</v>
      </c>
      <c r="L381" s="4">
        <v>0</v>
      </c>
      <c r="M381" s="4">
        <v>200</v>
      </c>
      <c r="N381" s="4">
        <v>28</v>
      </c>
      <c r="O381" s="4">
        <v>72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508</v>
      </c>
      <c r="Z381" s="4">
        <v>32</v>
      </c>
      <c r="AA381" s="4">
        <v>176</v>
      </c>
      <c r="AB381" s="4">
        <v>0</v>
      </c>
      <c r="AC381" s="4">
        <v>200</v>
      </c>
      <c r="AD381" s="4">
        <v>28</v>
      </c>
      <c r="AE381" s="4">
        <v>72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10">
        <f t="shared" si="20"/>
        <v>879.96</v>
      </c>
      <c r="AP381" s="10">
        <f t="shared" si="21"/>
        <v>585.5</v>
      </c>
      <c r="AQ381" s="1">
        <f t="shared" si="22"/>
        <v>1465.46</v>
      </c>
      <c r="AR381" s="1">
        <f t="shared" si="23"/>
        <v>-139.44000000000005</v>
      </c>
    </row>
    <row r="382" spans="1:44" x14ac:dyDescent="0.2">
      <c r="A382" s="3">
        <v>375</v>
      </c>
      <c r="B382" s="3" t="s">
        <v>413</v>
      </c>
      <c r="C382" s="3" t="s">
        <v>27</v>
      </c>
      <c r="D382" s="3">
        <v>1</v>
      </c>
      <c r="E382" s="3" t="s">
        <v>388</v>
      </c>
      <c r="F382" s="4">
        <v>1459</v>
      </c>
      <c r="G382" s="4">
        <v>890</v>
      </c>
      <c r="H382" s="4">
        <v>569</v>
      </c>
      <c r="I382" s="4">
        <v>889</v>
      </c>
      <c r="J382" s="4">
        <v>135.51</v>
      </c>
      <c r="K382" s="4">
        <v>319</v>
      </c>
      <c r="L382" s="4">
        <v>194</v>
      </c>
      <c r="M382" s="4">
        <v>185</v>
      </c>
      <c r="N382" s="4">
        <v>28</v>
      </c>
      <c r="O382" s="4">
        <v>108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874.01</v>
      </c>
      <c r="Z382" s="4">
        <v>40.01</v>
      </c>
      <c r="AA382" s="4">
        <v>319</v>
      </c>
      <c r="AB382" s="4">
        <v>194</v>
      </c>
      <c r="AC382" s="4">
        <v>185</v>
      </c>
      <c r="AD382" s="4">
        <v>28</v>
      </c>
      <c r="AE382" s="4">
        <v>108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10">
        <f t="shared" si="20"/>
        <v>889</v>
      </c>
      <c r="AP382" s="10">
        <f t="shared" si="21"/>
        <v>969.51</v>
      </c>
      <c r="AQ382" s="1">
        <f t="shared" si="22"/>
        <v>1858.51</v>
      </c>
      <c r="AR382" s="1">
        <f t="shared" si="23"/>
        <v>399.51</v>
      </c>
    </row>
    <row r="383" spans="1:44" x14ac:dyDescent="0.2">
      <c r="A383" s="3">
        <v>376</v>
      </c>
      <c r="B383" s="3" t="s">
        <v>414</v>
      </c>
      <c r="C383" s="3" t="s">
        <v>36</v>
      </c>
      <c r="D383" s="3">
        <v>0.35</v>
      </c>
      <c r="E383" s="3" t="s">
        <v>388</v>
      </c>
      <c r="F383" s="4">
        <v>510.65</v>
      </c>
      <c r="G383" s="4">
        <v>311.5</v>
      </c>
      <c r="H383" s="4">
        <v>199.15</v>
      </c>
      <c r="I383" s="4">
        <v>283</v>
      </c>
      <c r="J383" s="4">
        <v>52.5</v>
      </c>
      <c r="K383" s="4">
        <v>0</v>
      </c>
      <c r="L383" s="4">
        <v>0</v>
      </c>
      <c r="M383" s="4">
        <v>0</v>
      </c>
      <c r="N383" s="4">
        <v>148</v>
      </c>
      <c r="O383" s="4">
        <v>28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176</v>
      </c>
      <c r="Z383" s="4">
        <v>0</v>
      </c>
      <c r="AA383" s="4">
        <v>0</v>
      </c>
      <c r="AB383" s="4">
        <v>0</v>
      </c>
      <c r="AC383" s="4">
        <v>0</v>
      </c>
      <c r="AD383" s="4">
        <v>148</v>
      </c>
      <c r="AE383" s="4">
        <v>28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10">
        <f t="shared" si="20"/>
        <v>283</v>
      </c>
      <c r="AP383" s="10">
        <f t="shared" si="21"/>
        <v>228.5</v>
      </c>
      <c r="AQ383" s="1">
        <f t="shared" si="22"/>
        <v>511.5</v>
      </c>
      <c r="AR383" s="1">
        <f t="shared" si="23"/>
        <v>0.85000000000002274</v>
      </c>
    </row>
    <row r="384" spans="1:44" x14ac:dyDescent="0.2">
      <c r="A384" s="3">
        <v>377</v>
      </c>
      <c r="B384" s="3" t="s">
        <v>415</v>
      </c>
      <c r="C384" s="3" t="s">
        <v>27</v>
      </c>
      <c r="D384" s="3">
        <v>1</v>
      </c>
      <c r="E384" s="3" t="s">
        <v>388</v>
      </c>
      <c r="F384" s="4">
        <v>1459</v>
      </c>
      <c r="G384" s="4">
        <v>890</v>
      </c>
      <c r="H384" s="4">
        <v>569</v>
      </c>
      <c r="I384" s="4">
        <v>880.61</v>
      </c>
      <c r="J384" s="4">
        <v>127</v>
      </c>
      <c r="K384" s="4">
        <v>368</v>
      </c>
      <c r="L384" s="4">
        <v>104</v>
      </c>
      <c r="M384" s="4">
        <v>102</v>
      </c>
      <c r="N384" s="4">
        <v>28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500</v>
      </c>
      <c r="Z384" s="4">
        <v>32</v>
      </c>
      <c r="AA384" s="4">
        <v>248</v>
      </c>
      <c r="AB384" s="4">
        <v>90</v>
      </c>
      <c r="AC384" s="4">
        <v>102</v>
      </c>
      <c r="AD384" s="4">
        <v>28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10">
        <f t="shared" si="20"/>
        <v>880.61</v>
      </c>
      <c r="AP384" s="10">
        <f t="shared" si="21"/>
        <v>729</v>
      </c>
      <c r="AQ384" s="1">
        <f t="shared" si="22"/>
        <v>1609.6100000000001</v>
      </c>
      <c r="AR384" s="1">
        <f t="shared" si="23"/>
        <v>150.61000000000013</v>
      </c>
    </row>
    <row r="385" spans="1:44" x14ac:dyDescent="0.2">
      <c r="A385" s="3">
        <v>378</v>
      </c>
      <c r="B385" s="3" t="s">
        <v>416</v>
      </c>
      <c r="C385" s="3" t="s">
        <v>27</v>
      </c>
      <c r="D385" s="3">
        <v>1.5</v>
      </c>
      <c r="E385" s="3" t="s">
        <v>388</v>
      </c>
      <c r="F385" s="4">
        <v>2188.5</v>
      </c>
      <c r="G385" s="4">
        <v>1335</v>
      </c>
      <c r="H385" s="4">
        <v>853.5</v>
      </c>
      <c r="I385" s="4">
        <v>1123.18</v>
      </c>
      <c r="J385" s="4">
        <v>190.5</v>
      </c>
      <c r="K385" s="4">
        <v>74</v>
      </c>
      <c r="L385" s="4">
        <v>172</v>
      </c>
      <c r="M385" s="4">
        <v>250</v>
      </c>
      <c r="N385" s="4">
        <v>28</v>
      </c>
      <c r="O385" s="4">
        <v>72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688</v>
      </c>
      <c r="Z385" s="4">
        <v>92</v>
      </c>
      <c r="AA385" s="4">
        <v>74</v>
      </c>
      <c r="AB385" s="4">
        <v>172</v>
      </c>
      <c r="AC385" s="4">
        <v>250</v>
      </c>
      <c r="AD385" s="4">
        <v>28</v>
      </c>
      <c r="AE385" s="4">
        <v>72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10">
        <f t="shared" si="20"/>
        <v>1123.18</v>
      </c>
      <c r="AP385" s="10">
        <f t="shared" si="21"/>
        <v>786.5</v>
      </c>
      <c r="AQ385" s="1">
        <f t="shared" si="22"/>
        <v>1909.68</v>
      </c>
      <c r="AR385" s="1">
        <f t="shared" si="23"/>
        <v>-278.81999999999994</v>
      </c>
    </row>
    <row r="386" spans="1:44" x14ac:dyDescent="0.2">
      <c r="A386" s="3">
        <v>379</v>
      </c>
      <c r="B386" s="3" t="s">
        <v>417</v>
      </c>
      <c r="C386" s="3" t="s">
        <v>27</v>
      </c>
      <c r="D386" s="3">
        <v>0.25</v>
      </c>
      <c r="E386" s="3" t="s">
        <v>388</v>
      </c>
      <c r="F386" s="4">
        <v>364.75</v>
      </c>
      <c r="G386" s="4">
        <v>222.5</v>
      </c>
      <c r="H386" s="4">
        <v>142.25</v>
      </c>
      <c r="I386" s="4">
        <v>212</v>
      </c>
      <c r="J386" s="4">
        <v>44</v>
      </c>
      <c r="K386" s="4">
        <v>0</v>
      </c>
      <c r="L386" s="4">
        <v>0</v>
      </c>
      <c r="M386" s="4">
        <v>0</v>
      </c>
      <c r="N386" s="4">
        <v>28</v>
      </c>
      <c r="O386" s="4">
        <v>36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64</v>
      </c>
      <c r="Z386" s="4">
        <v>0</v>
      </c>
      <c r="AA386" s="4">
        <v>0</v>
      </c>
      <c r="AB386" s="4">
        <v>0</v>
      </c>
      <c r="AC386" s="4">
        <v>0</v>
      </c>
      <c r="AD386" s="4">
        <v>28</v>
      </c>
      <c r="AE386" s="4">
        <v>36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10">
        <f t="shared" si="20"/>
        <v>212</v>
      </c>
      <c r="AP386" s="10">
        <f t="shared" si="21"/>
        <v>108</v>
      </c>
      <c r="AQ386" s="1">
        <f t="shared" si="22"/>
        <v>320</v>
      </c>
      <c r="AR386" s="1">
        <f t="shared" si="23"/>
        <v>-44.75</v>
      </c>
    </row>
    <row r="387" spans="1:44" x14ac:dyDescent="0.2">
      <c r="A387" s="3">
        <v>380</v>
      </c>
      <c r="B387" s="3" t="s">
        <v>418</v>
      </c>
      <c r="C387" s="3" t="s">
        <v>32</v>
      </c>
      <c r="D387" s="3">
        <v>0.5</v>
      </c>
      <c r="E387" s="3" t="s">
        <v>388</v>
      </c>
      <c r="F387" s="4">
        <v>729.5</v>
      </c>
      <c r="G387" s="4">
        <v>445</v>
      </c>
      <c r="H387" s="4">
        <v>284.5</v>
      </c>
      <c r="I387" s="4">
        <v>422.49</v>
      </c>
      <c r="J387" s="4">
        <v>71.010000000000005</v>
      </c>
      <c r="K387" s="4">
        <v>68</v>
      </c>
      <c r="L387" s="4">
        <v>78</v>
      </c>
      <c r="M387" s="4">
        <v>0</v>
      </c>
      <c r="N387" s="4">
        <v>28</v>
      </c>
      <c r="O387" s="4">
        <v>24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202.01</v>
      </c>
      <c r="Z387" s="4">
        <v>4.01</v>
      </c>
      <c r="AA387" s="4">
        <v>68</v>
      </c>
      <c r="AB387" s="4">
        <v>78</v>
      </c>
      <c r="AC387" s="4">
        <v>0</v>
      </c>
      <c r="AD387" s="4">
        <v>28</v>
      </c>
      <c r="AE387" s="4">
        <v>24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10">
        <f t="shared" si="20"/>
        <v>422.49</v>
      </c>
      <c r="AP387" s="10">
        <f t="shared" si="21"/>
        <v>269.01</v>
      </c>
      <c r="AQ387" s="1">
        <f t="shared" si="22"/>
        <v>691.5</v>
      </c>
      <c r="AR387" s="1">
        <f t="shared" si="23"/>
        <v>-38</v>
      </c>
    </row>
    <row r="388" spans="1:44" x14ac:dyDescent="0.2">
      <c r="A388" s="3">
        <v>381</v>
      </c>
      <c r="B388" s="3" t="s">
        <v>419</v>
      </c>
      <c r="C388" s="3" t="s">
        <v>27</v>
      </c>
      <c r="D388" s="3">
        <v>1</v>
      </c>
      <c r="E388" s="3" t="s">
        <v>388</v>
      </c>
      <c r="F388" s="4">
        <v>1459</v>
      </c>
      <c r="G388" s="4">
        <v>890</v>
      </c>
      <c r="H388" s="4">
        <v>569</v>
      </c>
      <c r="I388" s="4">
        <v>885.07</v>
      </c>
      <c r="J388" s="4">
        <v>139.5</v>
      </c>
      <c r="K388" s="4">
        <v>170</v>
      </c>
      <c r="L388" s="4">
        <v>223</v>
      </c>
      <c r="M388" s="4">
        <v>20</v>
      </c>
      <c r="N388" s="4">
        <v>108</v>
      </c>
      <c r="O388" s="4">
        <v>16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370</v>
      </c>
      <c r="Z388" s="4">
        <v>56</v>
      </c>
      <c r="AA388" s="4">
        <v>170</v>
      </c>
      <c r="AB388" s="4">
        <v>0</v>
      </c>
      <c r="AC388" s="4">
        <v>20</v>
      </c>
      <c r="AD388" s="4">
        <v>108</v>
      </c>
      <c r="AE388" s="4">
        <v>16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10">
        <f t="shared" si="20"/>
        <v>885.07</v>
      </c>
      <c r="AP388" s="10">
        <f t="shared" si="21"/>
        <v>676.5</v>
      </c>
      <c r="AQ388" s="1">
        <f t="shared" si="22"/>
        <v>1561.5700000000002</v>
      </c>
      <c r="AR388" s="1">
        <f t="shared" si="23"/>
        <v>102.57000000000016</v>
      </c>
    </row>
    <row r="389" spans="1:44" x14ac:dyDescent="0.2">
      <c r="A389" s="3">
        <v>382</v>
      </c>
      <c r="B389" s="3" t="s">
        <v>420</v>
      </c>
      <c r="C389" s="3" t="s">
        <v>48</v>
      </c>
      <c r="D389" s="3">
        <v>0.5</v>
      </c>
      <c r="E389" s="3" t="s">
        <v>388</v>
      </c>
      <c r="F389" s="4">
        <v>729.5</v>
      </c>
      <c r="G389" s="4">
        <v>445</v>
      </c>
      <c r="H389" s="4">
        <v>284.5</v>
      </c>
      <c r="I389" s="4">
        <v>427</v>
      </c>
      <c r="J389" s="4">
        <v>30</v>
      </c>
      <c r="K389" s="4">
        <v>8</v>
      </c>
      <c r="L389" s="4">
        <v>0</v>
      </c>
      <c r="M389" s="4">
        <v>377</v>
      </c>
      <c r="N389" s="4">
        <v>28</v>
      </c>
      <c r="O389" s="4">
        <v>72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501</v>
      </c>
      <c r="Z389" s="4">
        <v>16</v>
      </c>
      <c r="AA389" s="4">
        <v>8</v>
      </c>
      <c r="AB389" s="4">
        <v>0</v>
      </c>
      <c r="AC389" s="4">
        <v>377</v>
      </c>
      <c r="AD389" s="4">
        <v>28</v>
      </c>
      <c r="AE389" s="4">
        <v>72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10">
        <f t="shared" si="20"/>
        <v>427</v>
      </c>
      <c r="AP389" s="10">
        <f t="shared" si="21"/>
        <v>515</v>
      </c>
      <c r="AQ389" s="1">
        <f t="shared" si="22"/>
        <v>942</v>
      </c>
      <c r="AR389" s="1">
        <f t="shared" si="23"/>
        <v>212.5</v>
      </c>
    </row>
    <row r="390" spans="1:44" x14ac:dyDescent="0.2">
      <c r="A390" s="3">
        <v>383</v>
      </c>
      <c r="B390" s="3" t="s">
        <v>421</v>
      </c>
      <c r="C390" s="3" t="s">
        <v>27</v>
      </c>
      <c r="D390" s="3">
        <v>1</v>
      </c>
      <c r="E390" s="3" t="s">
        <v>388</v>
      </c>
      <c r="F390" s="4">
        <v>1459</v>
      </c>
      <c r="G390" s="4">
        <v>890</v>
      </c>
      <c r="H390" s="4">
        <v>569</v>
      </c>
      <c r="I390" s="4">
        <v>484.16</v>
      </c>
      <c r="J390" s="4">
        <v>88.49</v>
      </c>
      <c r="K390" s="4">
        <v>258</v>
      </c>
      <c r="L390" s="4">
        <v>225</v>
      </c>
      <c r="M390" s="4">
        <v>100</v>
      </c>
      <c r="N390" s="4">
        <v>28</v>
      </c>
      <c r="O390" s="4">
        <v>72</v>
      </c>
      <c r="P390" s="4">
        <v>50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608.99</v>
      </c>
      <c r="Z390" s="4">
        <v>35.99</v>
      </c>
      <c r="AA390" s="4">
        <v>98</v>
      </c>
      <c r="AB390" s="4">
        <v>225</v>
      </c>
      <c r="AC390" s="4">
        <v>100</v>
      </c>
      <c r="AD390" s="4">
        <v>28</v>
      </c>
      <c r="AE390" s="4">
        <v>72</v>
      </c>
      <c r="AF390" s="4">
        <v>50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10">
        <f t="shared" si="20"/>
        <v>484.16</v>
      </c>
      <c r="AP390" s="10">
        <f t="shared" si="21"/>
        <v>821.49</v>
      </c>
      <c r="AQ390" s="1">
        <f t="shared" si="22"/>
        <v>1305.6500000000001</v>
      </c>
      <c r="AR390" s="1">
        <f t="shared" si="23"/>
        <v>-153.34999999999991</v>
      </c>
    </row>
    <row r="391" spans="1:44" x14ac:dyDescent="0.2">
      <c r="A391" s="3">
        <v>384</v>
      </c>
      <c r="B391" s="3" t="s">
        <v>422</v>
      </c>
      <c r="C391" s="3" t="s">
        <v>27</v>
      </c>
      <c r="D391" s="3">
        <v>1</v>
      </c>
      <c r="E391" s="3" t="s">
        <v>388</v>
      </c>
      <c r="F391" s="4">
        <v>1459</v>
      </c>
      <c r="G391" s="4">
        <v>890</v>
      </c>
      <c r="H391" s="4">
        <v>569</v>
      </c>
      <c r="I391" s="4">
        <v>844.02</v>
      </c>
      <c r="J391" s="4">
        <v>147</v>
      </c>
      <c r="K391" s="4">
        <v>71</v>
      </c>
      <c r="L391" s="4">
        <v>147</v>
      </c>
      <c r="M391" s="4">
        <v>227</v>
      </c>
      <c r="N391" s="4">
        <v>28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525</v>
      </c>
      <c r="Z391" s="4">
        <v>52</v>
      </c>
      <c r="AA391" s="4">
        <v>71</v>
      </c>
      <c r="AB391" s="4">
        <v>147</v>
      </c>
      <c r="AC391" s="4">
        <v>227</v>
      </c>
      <c r="AD391" s="4">
        <v>28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10">
        <f t="shared" si="20"/>
        <v>844.02</v>
      </c>
      <c r="AP391" s="10">
        <f t="shared" si="21"/>
        <v>620</v>
      </c>
      <c r="AQ391" s="1">
        <f t="shared" si="22"/>
        <v>1464.02</v>
      </c>
      <c r="AR391" s="1">
        <f t="shared" si="23"/>
        <v>5.0199999999999818</v>
      </c>
    </row>
    <row r="392" spans="1:44" x14ac:dyDescent="0.2">
      <c r="A392" s="3">
        <v>385</v>
      </c>
      <c r="B392" s="3" t="s">
        <v>423</v>
      </c>
      <c r="C392" s="3" t="s">
        <v>27</v>
      </c>
      <c r="D392" s="3">
        <v>0.5</v>
      </c>
      <c r="E392" s="3" t="s">
        <v>388</v>
      </c>
      <c r="F392" s="4">
        <v>729.5</v>
      </c>
      <c r="G392" s="4">
        <v>445</v>
      </c>
      <c r="H392" s="4">
        <v>284.5</v>
      </c>
      <c r="I392" s="4">
        <v>444.5</v>
      </c>
      <c r="J392" s="4">
        <v>260.01</v>
      </c>
      <c r="K392" s="4">
        <v>112.5</v>
      </c>
      <c r="L392" s="4">
        <v>0</v>
      </c>
      <c r="M392" s="4">
        <v>0</v>
      </c>
      <c r="N392" s="4">
        <v>658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986.51</v>
      </c>
      <c r="Z392" s="4">
        <v>216.01</v>
      </c>
      <c r="AA392" s="4">
        <v>112.5</v>
      </c>
      <c r="AB392" s="4">
        <v>0</v>
      </c>
      <c r="AC392" s="4">
        <v>0</v>
      </c>
      <c r="AD392" s="4">
        <v>658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10">
        <f t="shared" si="20"/>
        <v>444.5</v>
      </c>
      <c r="AP392" s="10">
        <f t="shared" si="21"/>
        <v>1030.51</v>
      </c>
      <c r="AQ392" s="1">
        <f t="shared" si="22"/>
        <v>1475.01</v>
      </c>
      <c r="AR392" s="1">
        <f t="shared" si="23"/>
        <v>745.51</v>
      </c>
    </row>
    <row r="393" spans="1:44" x14ac:dyDescent="0.2">
      <c r="A393" s="3">
        <v>386</v>
      </c>
      <c r="B393" s="3" t="s">
        <v>423</v>
      </c>
      <c r="C393" s="3" t="s">
        <v>24</v>
      </c>
      <c r="D393" s="3">
        <v>1</v>
      </c>
      <c r="E393" s="3" t="s">
        <v>388</v>
      </c>
      <c r="F393" s="4">
        <v>1459</v>
      </c>
      <c r="G393" s="4">
        <v>890</v>
      </c>
      <c r="H393" s="4">
        <v>569</v>
      </c>
      <c r="I393" s="4">
        <v>889.66</v>
      </c>
      <c r="J393" s="4">
        <v>260.01</v>
      </c>
      <c r="K393" s="4">
        <v>112.5</v>
      </c>
      <c r="L393" s="4">
        <v>0</v>
      </c>
      <c r="M393" s="4">
        <v>0</v>
      </c>
      <c r="N393" s="4">
        <v>658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986.51</v>
      </c>
      <c r="Z393" s="4">
        <v>216.01</v>
      </c>
      <c r="AA393" s="4">
        <v>112.5</v>
      </c>
      <c r="AB393" s="4">
        <v>0</v>
      </c>
      <c r="AC393" s="4">
        <v>0</v>
      </c>
      <c r="AD393" s="4">
        <v>658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10">
        <f t="shared" si="20"/>
        <v>889.66</v>
      </c>
      <c r="AP393" s="10">
        <f t="shared" si="21"/>
        <v>1030.51</v>
      </c>
      <c r="AQ393" s="1">
        <f t="shared" si="22"/>
        <v>1920.17</v>
      </c>
      <c r="AR393" s="1">
        <f t="shared" si="23"/>
        <v>461.17000000000007</v>
      </c>
    </row>
    <row r="394" spans="1:44" x14ac:dyDescent="0.2">
      <c r="A394" s="3">
        <v>387</v>
      </c>
      <c r="B394" s="3" t="s">
        <v>424</v>
      </c>
      <c r="C394" s="3" t="s">
        <v>27</v>
      </c>
      <c r="D394" s="3">
        <v>1.5</v>
      </c>
      <c r="E394" s="3" t="s">
        <v>388</v>
      </c>
      <c r="F394" s="4">
        <v>2188.5</v>
      </c>
      <c r="G394" s="4">
        <v>1335</v>
      </c>
      <c r="H394" s="4">
        <v>853.5</v>
      </c>
      <c r="I394" s="4">
        <v>396.75</v>
      </c>
      <c r="J394" s="4">
        <v>42.5</v>
      </c>
      <c r="K394" s="12">
        <v>1262.5</v>
      </c>
      <c r="L394" s="4">
        <v>0</v>
      </c>
      <c r="M394" s="4">
        <v>102</v>
      </c>
      <c r="N394" s="4">
        <v>278</v>
      </c>
      <c r="O394" s="4">
        <v>72</v>
      </c>
      <c r="P394" s="4">
        <v>37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1771.5</v>
      </c>
      <c r="Z394" s="4">
        <v>20</v>
      </c>
      <c r="AA394" s="4">
        <v>1262.5</v>
      </c>
      <c r="AB394" s="4">
        <v>0</v>
      </c>
      <c r="AC394" s="4">
        <v>102</v>
      </c>
      <c r="AD394" s="4">
        <v>278</v>
      </c>
      <c r="AE394" s="4">
        <v>72</v>
      </c>
      <c r="AF394" s="4">
        <v>37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10">
        <f t="shared" ref="AO394:AO434" si="24">I394</f>
        <v>396.75</v>
      </c>
      <c r="AP394" s="10">
        <f t="shared" ref="AP394:AP434" si="25">SUM(J394:P394)</f>
        <v>1794</v>
      </c>
      <c r="AQ394" s="1">
        <f t="shared" ref="AQ394:AQ434" si="26">AO394+AP394</f>
        <v>2190.75</v>
      </c>
      <c r="AR394" s="1">
        <f t="shared" ref="AR394:AR434" si="27">AQ394-F394</f>
        <v>2.25</v>
      </c>
    </row>
    <row r="395" spans="1:44" x14ac:dyDescent="0.2">
      <c r="A395" s="3">
        <v>388</v>
      </c>
      <c r="B395" s="3" t="s">
        <v>425</v>
      </c>
      <c r="C395" s="3" t="s">
        <v>27</v>
      </c>
      <c r="D395" s="3">
        <v>0.1</v>
      </c>
      <c r="E395" s="3" t="s">
        <v>388</v>
      </c>
      <c r="F395" s="4">
        <v>145.9</v>
      </c>
      <c r="G395" s="4">
        <v>89</v>
      </c>
      <c r="H395" s="4">
        <v>56.9</v>
      </c>
      <c r="I395" s="4">
        <v>54</v>
      </c>
      <c r="J395" s="4">
        <v>0</v>
      </c>
      <c r="K395" s="4">
        <v>0</v>
      </c>
      <c r="L395" s="4">
        <v>0</v>
      </c>
      <c r="M395" s="4">
        <v>65</v>
      </c>
      <c r="N395" s="4">
        <v>28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93</v>
      </c>
      <c r="Z395" s="4">
        <v>0</v>
      </c>
      <c r="AA395" s="4">
        <v>0</v>
      </c>
      <c r="AB395" s="4">
        <v>0</v>
      </c>
      <c r="AC395" s="4">
        <v>65</v>
      </c>
      <c r="AD395" s="4">
        <v>28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10">
        <f t="shared" si="24"/>
        <v>54</v>
      </c>
      <c r="AP395" s="10">
        <f t="shared" si="25"/>
        <v>93</v>
      </c>
      <c r="AQ395" s="1">
        <f t="shared" si="26"/>
        <v>147</v>
      </c>
      <c r="AR395" s="1">
        <f t="shared" si="27"/>
        <v>1.0999999999999943</v>
      </c>
    </row>
    <row r="396" spans="1:44" x14ac:dyDescent="0.2">
      <c r="A396" s="3">
        <v>389</v>
      </c>
      <c r="B396" s="3" t="s">
        <v>426</v>
      </c>
      <c r="C396" s="3" t="s">
        <v>27</v>
      </c>
      <c r="D396" s="3">
        <v>1.5</v>
      </c>
      <c r="E396" s="3" t="s">
        <v>388</v>
      </c>
      <c r="F396" s="4">
        <v>2188.5</v>
      </c>
      <c r="G396" s="4">
        <v>1335</v>
      </c>
      <c r="H396" s="4">
        <v>853.5</v>
      </c>
      <c r="I396" s="4">
        <v>984.11</v>
      </c>
      <c r="J396" s="4">
        <v>147.5</v>
      </c>
      <c r="K396" s="4">
        <v>269</v>
      </c>
      <c r="L396" s="4">
        <v>0</v>
      </c>
      <c r="M396" s="4">
        <v>272</v>
      </c>
      <c r="N396" s="4">
        <v>28</v>
      </c>
      <c r="O396" s="4">
        <v>100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721</v>
      </c>
      <c r="Z396" s="4">
        <v>52</v>
      </c>
      <c r="AA396" s="4">
        <v>269</v>
      </c>
      <c r="AB396" s="4">
        <v>0</v>
      </c>
      <c r="AC396" s="4">
        <v>272</v>
      </c>
      <c r="AD396" s="4">
        <v>28</v>
      </c>
      <c r="AE396" s="4">
        <v>100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10">
        <f t="shared" si="24"/>
        <v>984.11</v>
      </c>
      <c r="AP396" s="10">
        <f t="shared" si="25"/>
        <v>816.5</v>
      </c>
      <c r="AQ396" s="1">
        <f t="shared" si="26"/>
        <v>1800.6100000000001</v>
      </c>
      <c r="AR396" s="1">
        <f t="shared" si="27"/>
        <v>-387.88999999999987</v>
      </c>
    </row>
    <row r="397" spans="1:44" x14ac:dyDescent="0.2">
      <c r="A397" s="3">
        <v>390</v>
      </c>
      <c r="B397" s="3" t="s">
        <v>427</v>
      </c>
      <c r="C397" s="3" t="s">
        <v>48</v>
      </c>
      <c r="D397" s="3">
        <v>0.5</v>
      </c>
      <c r="E397" s="3" t="s">
        <v>388</v>
      </c>
      <c r="F397" s="4">
        <v>729.5</v>
      </c>
      <c r="G397" s="4">
        <v>445</v>
      </c>
      <c r="H397" s="4">
        <v>284.5</v>
      </c>
      <c r="I397" s="4">
        <v>445</v>
      </c>
      <c r="J397" s="4">
        <v>11</v>
      </c>
      <c r="K397" s="4">
        <v>6</v>
      </c>
      <c r="L397" s="4">
        <v>0</v>
      </c>
      <c r="M397" s="4">
        <v>0</v>
      </c>
      <c r="N397" s="4">
        <v>28</v>
      </c>
      <c r="O397" s="4">
        <v>72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106</v>
      </c>
      <c r="Z397" s="4">
        <v>0</v>
      </c>
      <c r="AA397" s="4">
        <v>6</v>
      </c>
      <c r="AB397" s="4">
        <v>0</v>
      </c>
      <c r="AC397" s="4">
        <v>0</v>
      </c>
      <c r="AD397" s="4">
        <v>28</v>
      </c>
      <c r="AE397" s="4">
        <v>72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10">
        <f t="shared" si="24"/>
        <v>445</v>
      </c>
      <c r="AP397" s="10">
        <f t="shared" si="25"/>
        <v>117</v>
      </c>
      <c r="AQ397" s="1">
        <f t="shared" si="26"/>
        <v>562</v>
      </c>
      <c r="AR397" s="1">
        <f t="shared" si="27"/>
        <v>-167.5</v>
      </c>
    </row>
    <row r="398" spans="1:44" x14ac:dyDescent="0.2">
      <c r="A398" s="3">
        <v>391</v>
      </c>
      <c r="B398" s="3" t="s">
        <v>428</v>
      </c>
      <c r="C398" s="3" t="s">
        <v>27</v>
      </c>
      <c r="D398" s="3">
        <v>0.5</v>
      </c>
      <c r="E398" s="3" t="s">
        <v>388</v>
      </c>
      <c r="F398" s="4">
        <v>729.5</v>
      </c>
      <c r="G398" s="4">
        <v>445</v>
      </c>
      <c r="H398" s="4">
        <v>284.5</v>
      </c>
      <c r="I398" s="4">
        <v>400</v>
      </c>
      <c r="J398" s="4">
        <v>74</v>
      </c>
      <c r="K398" s="4">
        <v>44</v>
      </c>
      <c r="L398" s="4">
        <v>0</v>
      </c>
      <c r="M398" s="4">
        <v>125</v>
      </c>
      <c r="N398" s="4">
        <v>28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225</v>
      </c>
      <c r="Z398" s="4">
        <v>28</v>
      </c>
      <c r="AA398" s="4">
        <v>44</v>
      </c>
      <c r="AB398" s="4">
        <v>0</v>
      </c>
      <c r="AC398" s="4">
        <v>125</v>
      </c>
      <c r="AD398" s="4">
        <v>28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10">
        <f t="shared" si="24"/>
        <v>400</v>
      </c>
      <c r="AP398" s="10">
        <f t="shared" si="25"/>
        <v>271</v>
      </c>
      <c r="AQ398" s="1">
        <f t="shared" si="26"/>
        <v>671</v>
      </c>
      <c r="AR398" s="1">
        <f t="shared" si="27"/>
        <v>-58.5</v>
      </c>
    </row>
    <row r="399" spans="1:44" x14ac:dyDescent="0.2">
      <c r="A399" s="3">
        <v>392</v>
      </c>
      <c r="B399" s="3" t="s">
        <v>429</v>
      </c>
      <c r="C399" s="3" t="s">
        <v>27</v>
      </c>
      <c r="D399" s="3">
        <v>1</v>
      </c>
      <c r="E399" s="3" t="s">
        <v>388</v>
      </c>
      <c r="F399" s="4">
        <v>1459</v>
      </c>
      <c r="G399" s="4">
        <v>890</v>
      </c>
      <c r="H399" s="4">
        <v>569</v>
      </c>
      <c r="I399" s="4">
        <v>861.52</v>
      </c>
      <c r="J399" s="4">
        <v>131</v>
      </c>
      <c r="K399" s="4">
        <v>158</v>
      </c>
      <c r="L399" s="4">
        <v>185</v>
      </c>
      <c r="M399" s="4">
        <v>80</v>
      </c>
      <c r="N399" s="4">
        <v>28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491</v>
      </c>
      <c r="Z399" s="4">
        <v>40</v>
      </c>
      <c r="AA399" s="4">
        <v>158</v>
      </c>
      <c r="AB399" s="4">
        <v>185</v>
      </c>
      <c r="AC399" s="4">
        <v>80</v>
      </c>
      <c r="AD399" s="4">
        <v>28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10">
        <f t="shared" si="24"/>
        <v>861.52</v>
      </c>
      <c r="AP399" s="10">
        <f t="shared" si="25"/>
        <v>582</v>
      </c>
      <c r="AQ399" s="1">
        <f t="shared" si="26"/>
        <v>1443.52</v>
      </c>
      <c r="AR399" s="1">
        <f t="shared" si="27"/>
        <v>-15.480000000000018</v>
      </c>
    </row>
    <row r="400" spans="1:44" x14ac:dyDescent="0.2">
      <c r="A400" s="3">
        <v>393</v>
      </c>
      <c r="B400" s="3" t="s">
        <v>430</v>
      </c>
      <c r="C400" s="3" t="s">
        <v>27</v>
      </c>
      <c r="D400" s="3">
        <v>1.5</v>
      </c>
      <c r="E400" s="3" t="s">
        <v>388</v>
      </c>
      <c r="F400" s="4">
        <v>2188.5</v>
      </c>
      <c r="G400" s="4">
        <v>1335</v>
      </c>
      <c r="H400" s="4">
        <v>853.5</v>
      </c>
      <c r="I400" s="4">
        <v>1197.5999999999999</v>
      </c>
      <c r="J400" s="4">
        <v>177.5</v>
      </c>
      <c r="K400" s="4">
        <v>91</v>
      </c>
      <c r="L400" s="4">
        <v>491</v>
      </c>
      <c r="M400" s="4">
        <v>115</v>
      </c>
      <c r="N400" s="4">
        <v>28</v>
      </c>
      <c r="O400" s="4">
        <v>72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893</v>
      </c>
      <c r="Z400" s="4">
        <v>96</v>
      </c>
      <c r="AA400" s="4">
        <v>91</v>
      </c>
      <c r="AB400" s="4">
        <v>491</v>
      </c>
      <c r="AC400" s="4">
        <v>115</v>
      </c>
      <c r="AD400" s="4">
        <v>28</v>
      </c>
      <c r="AE400" s="4">
        <v>72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10">
        <f t="shared" si="24"/>
        <v>1197.5999999999999</v>
      </c>
      <c r="AP400" s="10">
        <f t="shared" si="25"/>
        <v>974.5</v>
      </c>
      <c r="AQ400" s="1">
        <f t="shared" si="26"/>
        <v>2172.1</v>
      </c>
      <c r="AR400" s="1">
        <f t="shared" si="27"/>
        <v>-16.400000000000091</v>
      </c>
    </row>
    <row r="401" spans="1:44" x14ac:dyDescent="0.2">
      <c r="A401" s="3">
        <v>394</v>
      </c>
      <c r="B401" s="3" t="s">
        <v>431</v>
      </c>
      <c r="C401" s="3" t="s">
        <v>27</v>
      </c>
      <c r="D401" s="3">
        <v>1</v>
      </c>
      <c r="E401" s="3" t="s">
        <v>388</v>
      </c>
      <c r="F401" s="4">
        <v>1459</v>
      </c>
      <c r="G401" s="4">
        <v>890</v>
      </c>
      <c r="H401" s="4">
        <v>569</v>
      </c>
      <c r="I401" s="4">
        <v>843.36</v>
      </c>
      <c r="J401" s="4">
        <v>143.52000000000001</v>
      </c>
      <c r="K401" s="4">
        <v>91</v>
      </c>
      <c r="L401" s="4">
        <v>0</v>
      </c>
      <c r="M401" s="4">
        <v>272</v>
      </c>
      <c r="N401" s="4">
        <v>28</v>
      </c>
      <c r="O401" s="4">
        <v>75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518.02</v>
      </c>
      <c r="Z401" s="4">
        <v>56.02</v>
      </c>
      <c r="AA401" s="4">
        <v>87</v>
      </c>
      <c r="AB401" s="4">
        <v>0</v>
      </c>
      <c r="AC401" s="4">
        <v>272</v>
      </c>
      <c r="AD401" s="4">
        <v>28</v>
      </c>
      <c r="AE401" s="4">
        <v>75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10">
        <f t="shared" si="24"/>
        <v>843.36</v>
      </c>
      <c r="AP401" s="10">
        <f t="shared" si="25"/>
        <v>609.52</v>
      </c>
      <c r="AQ401" s="1">
        <f t="shared" si="26"/>
        <v>1452.88</v>
      </c>
      <c r="AR401" s="1">
        <f t="shared" si="27"/>
        <v>-6.1199999999998909</v>
      </c>
    </row>
    <row r="402" spans="1:44" x14ac:dyDescent="0.2">
      <c r="A402" s="3">
        <v>395</v>
      </c>
      <c r="B402" s="3" t="s">
        <v>432</v>
      </c>
      <c r="C402" s="3" t="s">
        <v>36</v>
      </c>
      <c r="D402" s="3">
        <v>0.5</v>
      </c>
      <c r="E402" s="3" t="s">
        <v>388</v>
      </c>
      <c r="F402" s="4">
        <v>729.5</v>
      </c>
      <c r="G402" s="4">
        <v>445</v>
      </c>
      <c r="H402" s="4">
        <v>284.5</v>
      </c>
      <c r="I402" s="4">
        <v>240</v>
      </c>
      <c r="J402" s="4">
        <v>54</v>
      </c>
      <c r="K402" s="4">
        <v>0</v>
      </c>
      <c r="L402" s="4">
        <v>0</v>
      </c>
      <c r="M402" s="4">
        <v>0</v>
      </c>
      <c r="N402" s="4">
        <v>28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28</v>
      </c>
      <c r="Z402" s="4">
        <v>0</v>
      </c>
      <c r="AA402" s="4">
        <v>0</v>
      </c>
      <c r="AB402" s="4">
        <v>0</v>
      </c>
      <c r="AC402" s="4">
        <v>0</v>
      </c>
      <c r="AD402" s="4">
        <v>28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10">
        <f t="shared" si="24"/>
        <v>240</v>
      </c>
      <c r="AP402" s="10">
        <f t="shared" si="25"/>
        <v>82</v>
      </c>
      <c r="AQ402" s="1">
        <f t="shared" si="26"/>
        <v>322</v>
      </c>
      <c r="AR402" s="1">
        <f t="shared" si="27"/>
        <v>-407.5</v>
      </c>
    </row>
    <row r="403" spans="1:44" x14ac:dyDescent="0.2">
      <c r="A403" s="3">
        <v>396</v>
      </c>
      <c r="B403" s="3" t="s">
        <v>433</v>
      </c>
      <c r="C403" s="3" t="s">
        <v>48</v>
      </c>
      <c r="D403" s="3">
        <v>0.5</v>
      </c>
      <c r="E403" s="3" t="s">
        <v>388</v>
      </c>
      <c r="F403" s="4">
        <v>729.5</v>
      </c>
      <c r="G403" s="4">
        <v>445</v>
      </c>
      <c r="H403" s="4">
        <v>284.5</v>
      </c>
      <c r="I403" s="4">
        <v>90</v>
      </c>
      <c r="J403" s="4">
        <v>0</v>
      </c>
      <c r="K403" s="4">
        <v>90</v>
      </c>
      <c r="L403" s="4">
        <v>0</v>
      </c>
      <c r="M403" s="4">
        <v>303</v>
      </c>
      <c r="N403" s="4">
        <v>28</v>
      </c>
      <c r="O403" s="4">
        <v>72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493</v>
      </c>
      <c r="Z403" s="4">
        <v>0</v>
      </c>
      <c r="AA403" s="4">
        <v>90</v>
      </c>
      <c r="AB403" s="4">
        <v>0</v>
      </c>
      <c r="AC403" s="4">
        <v>303</v>
      </c>
      <c r="AD403" s="4">
        <v>28</v>
      </c>
      <c r="AE403" s="4">
        <v>72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10">
        <f t="shared" si="24"/>
        <v>90</v>
      </c>
      <c r="AP403" s="10">
        <f t="shared" si="25"/>
        <v>493</v>
      </c>
      <c r="AQ403" s="1">
        <f t="shared" si="26"/>
        <v>583</v>
      </c>
      <c r="AR403" s="1">
        <f t="shared" si="27"/>
        <v>-146.5</v>
      </c>
    </row>
    <row r="404" spans="1:44" x14ac:dyDescent="0.2">
      <c r="A404" s="3">
        <v>397</v>
      </c>
      <c r="B404" s="3" t="s">
        <v>434</v>
      </c>
      <c r="C404" s="3" t="s">
        <v>27</v>
      </c>
      <c r="D404" s="3">
        <v>1</v>
      </c>
      <c r="E404" s="3" t="s">
        <v>388</v>
      </c>
      <c r="F404" s="4">
        <v>1459</v>
      </c>
      <c r="G404" s="4">
        <v>890</v>
      </c>
      <c r="H404" s="4">
        <v>569</v>
      </c>
      <c r="I404" s="4">
        <v>869.46</v>
      </c>
      <c r="J404" s="4">
        <v>130.5</v>
      </c>
      <c r="K404" s="4">
        <v>63</v>
      </c>
      <c r="L404" s="4">
        <v>0</v>
      </c>
      <c r="M404" s="4">
        <v>367</v>
      </c>
      <c r="N404" s="4">
        <v>28</v>
      </c>
      <c r="O404" s="4">
        <v>37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491</v>
      </c>
      <c r="Z404" s="4">
        <v>32</v>
      </c>
      <c r="AA404" s="4">
        <v>63</v>
      </c>
      <c r="AB404" s="4">
        <v>0</v>
      </c>
      <c r="AC404" s="4">
        <v>367</v>
      </c>
      <c r="AD404" s="4">
        <v>28</v>
      </c>
      <c r="AE404" s="4">
        <v>1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10">
        <f t="shared" si="24"/>
        <v>869.46</v>
      </c>
      <c r="AP404" s="10">
        <f t="shared" si="25"/>
        <v>625.5</v>
      </c>
      <c r="AQ404" s="1">
        <f t="shared" si="26"/>
        <v>1494.96</v>
      </c>
      <c r="AR404" s="1">
        <f t="shared" si="27"/>
        <v>35.960000000000036</v>
      </c>
    </row>
    <row r="405" spans="1:44" x14ac:dyDescent="0.2">
      <c r="A405" s="3">
        <v>398</v>
      </c>
      <c r="B405" s="3" t="s">
        <v>435</v>
      </c>
      <c r="C405" s="3" t="s">
        <v>27</v>
      </c>
      <c r="D405" s="3">
        <v>1.5</v>
      </c>
      <c r="E405" s="3" t="s">
        <v>388</v>
      </c>
      <c r="F405" s="4">
        <v>2188.5</v>
      </c>
      <c r="G405" s="4">
        <v>1335</v>
      </c>
      <c r="H405" s="4">
        <v>853.5</v>
      </c>
      <c r="I405" s="4">
        <v>1165.3800000000001</v>
      </c>
      <c r="J405" s="4">
        <v>177.5</v>
      </c>
      <c r="K405" s="4">
        <v>70</v>
      </c>
      <c r="L405" s="4">
        <v>0</v>
      </c>
      <c r="M405" s="4">
        <v>215</v>
      </c>
      <c r="N405" s="4">
        <v>68</v>
      </c>
      <c r="O405" s="4">
        <v>180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572</v>
      </c>
      <c r="Z405" s="4">
        <v>64</v>
      </c>
      <c r="AA405" s="4">
        <v>70</v>
      </c>
      <c r="AB405" s="4">
        <v>0</v>
      </c>
      <c r="AC405" s="4">
        <v>190</v>
      </c>
      <c r="AD405" s="4">
        <v>68</v>
      </c>
      <c r="AE405" s="4">
        <v>180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10">
        <f t="shared" si="24"/>
        <v>1165.3800000000001</v>
      </c>
      <c r="AP405" s="10">
        <f t="shared" si="25"/>
        <v>710.5</v>
      </c>
      <c r="AQ405" s="1">
        <f t="shared" si="26"/>
        <v>1875.88</v>
      </c>
      <c r="AR405" s="1">
        <f t="shared" si="27"/>
        <v>-312.61999999999989</v>
      </c>
    </row>
    <row r="406" spans="1:44" x14ac:dyDescent="0.2">
      <c r="A406" s="3">
        <v>399</v>
      </c>
      <c r="B406" s="3" t="s">
        <v>436</v>
      </c>
      <c r="C406" s="3" t="s">
        <v>48</v>
      </c>
      <c r="D406" s="3">
        <v>0.25</v>
      </c>
      <c r="E406" s="3" t="s">
        <v>388</v>
      </c>
      <c r="F406" s="4">
        <v>364.75</v>
      </c>
      <c r="G406" s="4">
        <v>222.5</v>
      </c>
      <c r="H406" s="4">
        <v>142.25</v>
      </c>
      <c r="I406" s="4">
        <v>130</v>
      </c>
      <c r="J406" s="4">
        <v>0</v>
      </c>
      <c r="K406" s="4">
        <v>0</v>
      </c>
      <c r="L406" s="4">
        <v>0</v>
      </c>
      <c r="M406" s="4">
        <v>135</v>
      </c>
      <c r="N406" s="4">
        <v>28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163</v>
      </c>
      <c r="Z406" s="4">
        <v>0</v>
      </c>
      <c r="AA406" s="4">
        <v>0</v>
      </c>
      <c r="AB406" s="4">
        <v>0</v>
      </c>
      <c r="AC406" s="4">
        <v>135</v>
      </c>
      <c r="AD406" s="4">
        <v>28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10">
        <f t="shared" si="24"/>
        <v>130</v>
      </c>
      <c r="AP406" s="10">
        <f t="shared" si="25"/>
        <v>163</v>
      </c>
      <c r="AQ406" s="1">
        <f t="shared" si="26"/>
        <v>293</v>
      </c>
      <c r="AR406" s="1">
        <f t="shared" si="27"/>
        <v>-71.75</v>
      </c>
    </row>
    <row r="407" spans="1:44" x14ac:dyDescent="0.2">
      <c r="A407" s="3">
        <v>400</v>
      </c>
      <c r="B407" s="3" t="s">
        <v>437</v>
      </c>
      <c r="C407" s="3" t="s">
        <v>36</v>
      </c>
      <c r="D407" s="3">
        <v>0.5</v>
      </c>
      <c r="E407" s="3" t="s">
        <v>388</v>
      </c>
      <c r="F407" s="4">
        <v>729.5</v>
      </c>
      <c r="G407" s="4">
        <v>445</v>
      </c>
      <c r="H407" s="4">
        <v>284.5</v>
      </c>
      <c r="I407" s="4">
        <v>349</v>
      </c>
      <c r="J407" s="4">
        <v>56.5</v>
      </c>
      <c r="K407" s="4">
        <v>0</v>
      </c>
      <c r="L407" s="4">
        <v>0</v>
      </c>
      <c r="M407" s="4">
        <v>100</v>
      </c>
      <c r="N407" s="4">
        <v>148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248</v>
      </c>
      <c r="Z407" s="4">
        <v>0</v>
      </c>
      <c r="AA407" s="4">
        <v>0</v>
      </c>
      <c r="AB407" s="4">
        <v>0</v>
      </c>
      <c r="AC407" s="4">
        <v>100</v>
      </c>
      <c r="AD407" s="4">
        <v>148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10">
        <f t="shared" si="24"/>
        <v>349</v>
      </c>
      <c r="AP407" s="10">
        <f t="shared" si="25"/>
        <v>304.5</v>
      </c>
      <c r="AQ407" s="1">
        <f t="shared" si="26"/>
        <v>653.5</v>
      </c>
      <c r="AR407" s="1">
        <f t="shared" si="27"/>
        <v>-76</v>
      </c>
    </row>
    <row r="408" spans="1:44" x14ac:dyDescent="0.2">
      <c r="A408" s="3">
        <v>401</v>
      </c>
      <c r="B408" s="3" t="s">
        <v>140</v>
      </c>
      <c r="C408" s="3" t="s">
        <v>36</v>
      </c>
      <c r="D408" s="3">
        <v>0.4</v>
      </c>
      <c r="E408" s="3" t="s">
        <v>438</v>
      </c>
      <c r="F408" s="4">
        <v>583.6</v>
      </c>
      <c r="G408" s="4">
        <v>356</v>
      </c>
      <c r="H408" s="4">
        <v>227.6</v>
      </c>
      <c r="I408" s="4">
        <v>300.27</v>
      </c>
      <c r="J408" s="4">
        <v>65.5</v>
      </c>
      <c r="K408" s="4">
        <v>100</v>
      </c>
      <c r="L408" s="4">
        <v>0</v>
      </c>
      <c r="M408" s="4">
        <v>22</v>
      </c>
      <c r="N408" s="4">
        <v>28</v>
      </c>
      <c r="O408" s="4">
        <v>72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287.5</v>
      </c>
      <c r="Z408" s="4">
        <v>65.5</v>
      </c>
      <c r="AA408" s="4">
        <v>100</v>
      </c>
      <c r="AB408" s="4">
        <v>0</v>
      </c>
      <c r="AC408" s="4">
        <v>22</v>
      </c>
      <c r="AD408" s="4">
        <v>28</v>
      </c>
      <c r="AE408" s="4">
        <v>72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10">
        <f t="shared" si="24"/>
        <v>300.27</v>
      </c>
      <c r="AP408" s="10">
        <f t="shared" si="25"/>
        <v>287.5</v>
      </c>
      <c r="AQ408" s="1">
        <f t="shared" si="26"/>
        <v>587.77</v>
      </c>
      <c r="AR408" s="1">
        <f t="shared" si="27"/>
        <v>4.1699999999999591</v>
      </c>
    </row>
    <row r="409" spans="1:44" x14ac:dyDescent="0.2">
      <c r="A409" s="3">
        <v>402</v>
      </c>
      <c r="B409" s="3" t="s">
        <v>439</v>
      </c>
      <c r="C409" s="3" t="s">
        <v>36</v>
      </c>
      <c r="D409" s="3">
        <v>0.75</v>
      </c>
      <c r="E409" s="3" t="s">
        <v>438</v>
      </c>
      <c r="F409" s="4">
        <v>1094.25</v>
      </c>
      <c r="G409" s="4">
        <v>667.5</v>
      </c>
      <c r="H409" s="4">
        <v>426.75</v>
      </c>
      <c r="I409" s="4">
        <v>572.11</v>
      </c>
      <c r="J409" s="4">
        <v>129</v>
      </c>
      <c r="K409" s="4">
        <v>238</v>
      </c>
      <c r="L409" s="4">
        <v>0</v>
      </c>
      <c r="M409" s="4">
        <v>48</v>
      </c>
      <c r="N409" s="4">
        <v>28</v>
      </c>
      <c r="O409" s="4">
        <v>72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515</v>
      </c>
      <c r="Z409" s="4">
        <v>129</v>
      </c>
      <c r="AA409" s="4">
        <v>238</v>
      </c>
      <c r="AB409" s="4">
        <v>0</v>
      </c>
      <c r="AC409" s="4">
        <v>48</v>
      </c>
      <c r="AD409" s="4">
        <v>28</v>
      </c>
      <c r="AE409" s="4">
        <v>72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10">
        <f t="shared" si="24"/>
        <v>572.11</v>
      </c>
      <c r="AP409" s="10">
        <f t="shared" si="25"/>
        <v>515</v>
      </c>
      <c r="AQ409" s="1">
        <f t="shared" si="26"/>
        <v>1087.1100000000001</v>
      </c>
      <c r="AR409" s="1">
        <f t="shared" si="27"/>
        <v>-7.1399999999998727</v>
      </c>
    </row>
    <row r="410" spans="1:44" x14ac:dyDescent="0.2">
      <c r="A410" s="3">
        <v>403</v>
      </c>
      <c r="B410" s="3" t="s">
        <v>142</v>
      </c>
      <c r="C410" s="3" t="s">
        <v>36</v>
      </c>
      <c r="D410" s="3">
        <v>0.25</v>
      </c>
      <c r="E410" s="3" t="s">
        <v>438</v>
      </c>
      <c r="F410" s="4">
        <v>364.75</v>
      </c>
      <c r="G410" s="4">
        <v>222.5</v>
      </c>
      <c r="H410" s="4">
        <v>142.25</v>
      </c>
      <c r="I410" s="4">
        <v>124.27</v>
      </c>
      <c r="J410" s="4">
        <v>25.5</v>
      </c>
      <c r="K410" s="4">
        <v>60</v>
      </c>
      <c r="L410" s="4">
        <v>0</v>
      </c>
      <c r="M410" s="4">
        <v>60</v>
      </c>
      <c r="N410" s="4">
        <v>52</v>
      </c>
      <c r="O410" s="4">
        <v>36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233.5</v>
      </c>
      <c r="Z410" s="4">
        <v>25.5</v>
      </c>
      <c r="AA410" s="4">
        <v>60</v>
      </c>
      <c r="AB410" s="4">
        <v>0</v>
      </c>
      <c r="AC410" s="4">
        <v>60</v>
      </c>
      <c r="AD410" s="4">
        <v>52</v>
      </c>
      <c r="AE410" s="4">
        <v>36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10">
        <f t="shared" si="24"/>
        <v>124.27</v>
      </c>
      <c r="AP410" s="10">
        <f t="shared" si="25"/>
        <v>233.5</v>
      </c>
      <c r="AQ410" s="1">
        <f t="shared" si="26"/>
        <v>357.77</v>
      </c>
      <c r="AR410" s="1">
        <f t="shared" si="27"/>
        <v>-6.9800000000000182</v>
      </c>
    </row>
    <row r="411" spans="1:44" x14ac:dyDescent="0.2">
      <c r="A411" s="3">
        <v>404</v>
      </c>
      <c r="B411" s="3" t="s">
        <v>440</v>
      </c>
      <c r="C411" s="3" t="s">
        <v>48</v>
      </c>
      <c r="D411" s="3">
        <v>0.25</v>
      </c>
      <c r="E411" s="3" t="s">
        <v>438</v>
      </c>
      <c r="F411" s="4">
        <v>364.75</v>
      </c>
      <c r="G411" s="4">
        <v>222.5</v>
      </c>
      <c r="H411" s="4">
        <v>142.25</v>
      </c>
      <c r="I411" s="4">
        <v>288.57</v>
      </c>
      <c r="J411" s="4">
        <v>43</v>
      </c>
      <c r="K411" s="4">
        <v>0</v>
      </c>
      <c r="L411" s="4">
        <v>0</v>
      </c>
      <c r="M411" s="4">
        <v>2</v>
      </c>
      <c r="N411" s="4">
        <v>28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73</v>
      </c>
      <c r="Z411" s="4">
        <v>43</v>
      </c>
      <c r="AA411" s="4">
        <v>0</v>
      </c>
      <c r="AB411" s="4">
        <v>0</v>
      </c>
      <c r="AC411" s="4">
        <v>2</v>
      </c>
      <c r="AD411" s="4">
        <v>28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10">
        <f t="shared" si="24"/>
        <v>288.57</v>
      </c>
      <c r="AP411" s="10">
        <f t="shared" si="25"/>
        <v>73</v>
      </c>
      <c r="AQ411" s="1">
        <f t="shared" si="26"/>
        <v>361.57</v>
      </c>
      <c r="AR411" s="1">
        <f t="shared" si="27"/>
        <v>-3.1800000000000068</v>
      </c>
    </row>
    <row r="412" spans="1:44" x14ac:dyDescent="0.2">
      <c r="A412" s="3">
        <v>405</v>
      </c>
      <c r="B412" s="3" t="s">
        <v>147</v>
      </c>
      <c r="C412" s="3" t="s">
        <v>27</v>
      </c>
      <c r="D412" s="3">
        <v>0.25</v>
      </c>
      <c r="E412" s="3" t="s">
        <v>438</v>
      </c>
      <c r="F412" s="4">
        <v>364.75</v>
      </c>
      <c r="G412" s="4">
        <v>222.5</v>
      </c>
      <c r="H412" s="4">
        <v>142.25</v>
      </c>
      <c r="I412" s="4">
        <v>189</v>
      </c>
      <c r="J412" s="4">
        <v>41</v>
      </c>
      <c r="K412" s="4">
        <v>60</v>
      </c>
      <c r="L412" s="4">
        <v>0</v>
      </c>
      <c r="M412" s="4">
        <v>52</v>
      </c>
      <c r="N412" s="4">
        <v>28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181</v>
      </c>
      <c r="Z412" s="4">
        <v>41</v>
      </c>
      <c r="AA412" s="4">
        <v>60</v>
      </c>
      <c r="AB412" s="4">
        <v>0</v>
      </c>
      <c r="AC412" s="4">
        <v>52</v>
      </c>
      <c r="AD412" s="4">
        <v>28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10">
        <f t="shared" si="24"/>
        <v>189</v>
      </c>
      <c r="AP412" s="10">
        <f t="shared" si="25"/>
        <v>181</v>
      </c>
      <c r="AQ412" s="1">
        <f t="shared" si="26"/>
        <v>370</v>
      </c>
      <c r="AR412" s="1">
        <f t="shared" si="27"/>
        <v>5.25</v>
      </c>
    </row>
    <row r="413" spans="1:44" x14ac:dyDescent="0.2">
      <c r="A413" s="3">
        <v>406</v>
      </c>
      <c r="B413" s="3" t="s">
        <v>441</v>
      </c>
      <c r="C413" s="3" t="s">
        <v>48</v>
      </c>
      <c r="D413" s="3">
        <v>0.5</v>
      </c>
      <c r="E413" s="3" t="s">
        <v>438</v>
      </c>
      <c r="F413" s="4">
        <v>729.5</v>
      </c>
      <c r="G413" s="4">
        <v>445</v>
      </c>
      <c r="H413" s="4">
        <v>284.5</v>
      </c>
      <c r="I413" s="4">
        <v>118.27</v>
      </c>
      <c r="J413" s="4">
        <v>25</v>
      </c>
      <c r="K413" s="4">
        <v>418</v>
      </c>
      <c r="L413" s="4">
        <v>0</v>
      </c>
      <c r="M413" s="4">
        <v>112</v>
      </c>
      <c r="N413" s="4">
        <v>52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607</v>
      </c>
      <c r="Z413" s="4">
        <v>25</v>
      </c>
      <c r="AA413" s="4">
        <v>418</v>
      </c>
      <c r="AB413" s="4">
        <v>0</v>
      </c>
      <c r="AC413" s="4">
        <v>112</v>
      </c>
      <c r="AD413" s="4">
        <v>52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10">
        <f t="shared" si="24"/>
        <v>118.27</v>
      </c>
      <c r="AP413" s="10">
        <f t="shared" si="25"/>
        <v>607</v>
      </c>
      <c r="AQ413" s="1">
        <f t="shared" si="26"/>
        <v>725.27</v>
      </c>
      <c r="AR413" s="1">
        <f t="shared" si="27"/>
        <v>-4.2300000000000182</v>
      </c>
    </row>
    <row r="414" spans="1:44" x14ac:dyDescent="0.2">
      <c r="A414" s="3">
        <v>407</v>
      </c>
      <c r="B414" s="3" t="s">
        <v>442</v>
      </c>
      <c r="C414" s="3" t="s">
        <v>32</v>
      </c>
      <c r="D414" s="3">
        <v>0.1</v>
      </c>
      <c r="E414" s="3" t="s">
        <v>438</v>
      </c>
      <c r="F414" s="4">
        <v>145.9</v>
      </c>
      <c r="G414" s="4">
        <v>89</v>
      </c>
      <c r="H414" s="4">
        <v>56.9</v>
      </c>
      <c r="I414" s="4">
        <v>87</v>
      </c>
      <c r="J414" s="4">
        <v>19</v>
      </c>
      <c r="K414" s="4">
        <v>0</v>
      </c>
      <c r="L414" s="4">
        <v>0</v>
      </c>
      <c r="M414" s="4">
        <v>2</v>
      </c>
      <c r="N414" s="4">
        <v>28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49</v>
      </c>
      <c r="Z414" s="4">
        <v>19</v>
      </c>
      <c r="AA414" s="4">
        <v>0</v>
      </c>
      <c r="AB414" s="4">
        <v>0</v>
      </c>
      <c r="AC414" s="4">
        <v>2</v>
      </c>
      <c r="AD414" s="4">
        <v>28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10">
        <f t="shared" si="24"/>
        <v>87</v>
      </c>
      <c r="AP414" s="10">
        <f t="shared" si="25"/>
        <v>49</v>
      </c>
      <c r="AQ414" s="1">
        <f t="shared" si="26"/>
        <v>136</v>
      </c>
      <c r="AR414" s="1">
        <f t="shared" si="27"/>
        <v>-9.9000000000000057</v>
      </c>
    </row>
    <row r="415" spans="1:44" x14ac:dyDescent="0.2">
      <c r="A415" s="3">
        <v>408</v>
      </c>
      <c r="B415" s="3" t="s">
        <v>152</v>
      </c>
      <c r="C415" s="3" t="s">
        <v>27</v>
      </c>
      <c r="D415" s="3">
        <v>1</v>
      </c>
      <c r="E415" s="3" t="s">
        <v>438</v>
      </c>
      <c r="F415" s="4">
        <v>1459</v>
      </c>
      <c r="G415" s="4">
        <v>890</v>
      </c>
      <c r="H415" s="4">
        <v>569</v>
      </c>
      <c r="I415" s="4">
        <v>459.07</v>
      </c>
      <c r="J415" s="4">
        <v>92</v>
      </c>
      <c r="K415" s="11">
        <v>705</v>
      </c>
      <c r="L415" s="4">
        <v>0</v>
      </c>
      <c r="M415" s="4">
        <v>147</v>
      </c>
      <c r="N415" s="4">
        <v>47.2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991.2</v>
      </c>
      <c r="Z415" s="4">
        <v>92</v>
      </c>
      <c r="AA415" s="4">
        <v>705</v>
      </c>
      <c r="AB415" s="4">
        <v>0</v>
      </c>
      <c r="AC415" s="4">
        <v>147</v>
      </c>
      <c r="AD415" s="4">
        <v>47.2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10">
        <f t="shared" si="24"/>
        <v>459.07</v>
      </c>
      <c r="AP415" s="10">
        <f t="shared" si="25"/>
        <v>991.2</v>
      </c>
      <c r="AQ415" s="1">
        <f t="shared" si="26"/>
        <v>1450.27</v>
      </c>
      <c r="AR415" s="1">
        <f t="shared" si="27"/>
        <v>-8.7300000000000182</v>
      </c>
    </row>
    <row r="416" spans="1:44" x14ac:dyDescent="0.2">
      <c r="A416" s="3">
        <v>409</v>
      </c>
      <c r="B416" s="3" t="s">
        <v>443</v>
      </c>
      <c r="C416" s="3" t="s">
        <v>27</v>
      </c>
      <c r="D416" s="3">
        <v>0.5</v>
      </c>
      <c r="E416" s="3" t="s">
        <v>438</v>
      </c>
      <c r="F416" s="4">
        <v>729.5</v>
      </c>
      <c r="G416" s="4">
        <v>445</v>
      </c>
      <c r="H416" s="4">
        <v>284.5</v>
      </c>
      <c r="I416" s="4">
        <v>302.13</v>
      </c>
      <c r="J416" s="4">
        <v>64</v>
      </c>
      <c r="K416" s="4">
        <v>100</v>
      </c>
      <c r="L416" s="4">
        <v>0</v>
      </c>
      <c r="M416" s="4">
        <v>107</v>
      </c>
      <c r="N416" s="4">
        <v>76</v>
      </c>
      <c r="O416" s="4">
        <v>72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419</v>
      </c>
      <c r="Z416" s="4">
        <v>64</v>
      </c>
      <c r="AA416" s="4">
        <v>100</v>
      </c>
      <c r="AB416" s="4">
        <v>0</v>
      </c>
      <c r="AC416" s="4">
        <v>107</v>
      </c>
      <c r="AD416" s="4">
        <v>76</v>
      </c>
      <c r="AE416" s="4">
        <v>72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10">
        <f t="shared" si="24"/>
        <v>302.13</v>
      </c>
      <c r="AP416" s="10">
        <f t="shared" si="25"/>
        <v>419</v>
      </c>
      <c r="AQ416" s="1">
        <f t="shared" si="26"/>
        <v>721.13</v>
      </c>
      <c r="AR416" s="1">
        <f t="shared" si="27"/>
        <v>-8.3700000000000045</v>
      </c>
    </row>
    <row r="417" spans="1:44" x14ac:dyDescent="0.2">
      <c r="A417" s="3">
        <v>410</v>
      </c>
      <c r="B417" s="3" t="s">
        <v>444</v>
      </c>
      <c r="C417" s="3" t="s">
        <v>48</v>
      </c>
      <c r="D417" s="3">
        <v>0.1</v>
      </c>
      <c r="E417" s="3" t="s">
        <v>438</v>
      </c>
      <c r="F417" s="4">
        <v>145.9</v>
      </c>
      <c r="G417" s="4">
        <v>89</v>
      </c>
      <c r="H417" s="4">
        <v>56.9</v>
      </c>
      <c r="I417" s="4">
        <v>92</v>
      </c>
      <c r="J417" s="4">
        <v>22</v>
      </c>
      <c r="K417" s="4">
        <v>0</v>
      </c>
      <c r="L417" s="4">
        <v>0</v>
      </c>
      <c r="M417" s="4">
        <v>2</v>
      </c>
      <c r="N417" s="4">
        <v>28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52</v>
      </c>
      <c r="Z417" s="4">
        <v>22</v>
      </c>
      <c r="AA417" s="4">
        <v>0</v>
      </c>
      <c r="AB417" s="4">
        <v>0</v>
      </c>
      <c r="AC417" s="4">
        <v>2</v>
      </c>
      <c r="AD417" s="4">
        <v>28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10">
        <f t="shared" si="24"/>
        <v>92</v>
      </c>
      <c r="AP417" s="10">
        <f t="shared" si="25"/>
        <v>52</v>
      </c>
      <c r="AQ417" s="1">
        <f t="shared" si="26"/>
        <v>144</v>
      </c>
      <c r="AR417" s="1">
        <f t="shared" si="27"/>
        <v>-1.9000000000000057</v>
      </c>
    </row>
    <row r="418" spans="1:44" x14ac:dyDescent="0.2">
      <c r="A418" s="3">
        <v>411</v>
      </c>
      <c r="B418" s="3" t="s">
        <v>445</v>
      </c>
      <c r="C418" s="3" t="s">
        <v>48</v>
      </c>
      <c r="D418" s="3">
        <v>0.5</v>
      </c>
      <c r="E418" s="3" t="s">
        <v>438</v>
      </c>
      <c r="F418" s="4">
        <v>729.5</v>
      </c>
      <c r="G418" s="4">
        <v>445</v>
      </c>
      <c r="H418" s="4">
        <v>284.5</v>
      </c>
      <c r="I418" s="4">
        <v>507.4</v>
      </c>
      <c r="J418" s="4">
        <v>88.5</v>
      </c>
      <c r="K418" s="4">
        <v>0</v>
      </c>
      <c r="L418" s="4">
        <v>0</v>
      </c>
      <c r="M418" s="4">
        <v>106</v>
      </c>
      <c r="N418" s="4">
        <v>20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214.5</v>
      </c>
      <c r="Z418" s="4">
        <v>88.5</v>
      </c>
      <c r="AA418" s="4">
        <v>0</v>
      </c>
      <c r="AB418" s="4">
        <v>0</v>
      </c>
      <c r="AC418" s="4">
        <v>106</v>
      </c>
      <c r="AD418" s="4">
        <v>20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10">
        <f t="shared" si="24"/>
        <v>507.4</v>
      </c>
      <c r="AP418" s="10">
        <f t="shared" si="25"/>
        <v>214.5</v>
      </c>
      <c r="AQ418" s="1">
        <f t="shared" si="26"/>
        <v>721.9</v>
      </c>
      <c r="AR418" s="1">
        <f t="shared" si="27"/>
        <v>-7.6000000000000227</v>
      </c>
    </row>
    <row r="419" spans="1:44" x14ac:dyDescent="0.2">
      <c r="A419" s="3">
        <v>412</v>
      </c>
      <c r="B419" s="3" t="s">
        <v>446</v>
      </c>
      <c r="C419" s="3" t="s">
        <v>27</v>
      </c>
      <c r="D419" s="3">
        <v>0.75</v>
      </c>
      <c r="E419" s="3" t="s">
        <v>447</v>
      </c>
      <c r="F419" s="4">
        <v>1094.25</v>
      </c>
      <c r="G419" s="4">
        <v>667.5</v>
      </c>
      <c r="H419" s="4">
        <v>426.75</v>
      </c>
      <c r="I419" s="4">
        <v>661.5</v>
      </c>
      <c r="J419" s="4">
        <v>154.5</v>
      </c>
      <c r="K419" s="4">
        <v>60</v>
      </c>
      <c r="L419" s="4">
        <v>0</v>
      </c>
      <c r="M419" s="4">
        <v>113</v>
      </c>
      <c r="N419" s="4">
        <v>28</v>
      </c>
      <c r="O419" s="4">
        <v>72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287</v>
      </c>
      <c r="Z419" s="4">
        <v>14</v>
      </c>
      <c r="AA419" s="4">
        <v>60</v>
      </c>
      <c r="AB419" s="4">
        <v>0</v>
      </c>
      <c r="AC419" s="4">
        <v>113</v>
      </c>
      <c r="AD419" s="4">
        <v>28</v>
      </c>
      <c r="AE419" s="4">
        <v>72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10">
        <f t="shared" si="24"/>
        <v>661.5</v>
      </c>
      <c r="AP419" s="10">
        <f t="shared" si="25"/>
        <v>427.5</v>
      </c>
      <c r="AQ419" s="1">
        <f t="shared" si="26"/>
        <v>1089</v>
      </c>
      <c r="AR419" s="1">
        <f t="shared" si="27"/>
        <v>-5.25</v>
      </c>
    </row>
    <row r="420" spans="1:44" x14ac:dyDescent="0.2">
      <c r="A420" s="3">
        <v>413</v>
      </c>
      <c r="B420" s="3" t="s">
        <v>448</v>
      </c>
      <c r="C420" s="3" t="s">
        <v>27</v>
      </c>
      <c r="D420" s="3">
        <v>0.25</v>
      </c>
      <c r="E420" s="3" t="s">
        <v>447</v>
      </c>
      <c r="F420" s="4">
        <v>364.75</v>
      </c>
      <c r="G420" s="4">
        <v>222.5</v>
      </c>
      <c r="H420" s="4">
        <v>142.25</v>
      </c>
      <c r="I420" s="4">
        <v>240</v>
      </c>
      <c r="J420" s="4">
        <v>64.5</v>
      </c>
      <c r="K420" s="4">
        <v>0</v>
      </c>
      <c r="L420" s="4">
        <v>0</v>
      </c>
      <c r="M420" s="4">
        <v>0</v>
      </c>
      <c r="N420" s="4">
        <v>28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40</v>
      </c>
      <c r="Z420" s="4">
        <v>12</v>
      </c>
      <c r="AA420" s="4">
        <v>0</v>
      </c>
      <c r="AB420" s="4">
        <v>0</v>
      </c>
      <c r="AC420" s="4">
        <v>0</v>
      </c>
      <c r="AD420" s="4">
        <v>28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10">
        <f t="shared" si="24"/>
        <v>240</v>
      </c>
      <c r="AP420" s="10">
        <f t="shared" si="25"/>
        <v>92.5</v>
      </c>
      <c r="AQ420" s="1">
        <f t="shared" si="26"/>
        <v>332.5</v>
      </c>
      <c r="AR420" s="1">
        <f t="shared" si="27"/>
        <v>-32.25</v>
      </c>
    </row>
    <row r="421" spans="1:44" x14ac:dyDescent="0.2">
      <c r="A421" s="3">
        <v>414</v>
      </c>
      <c r="B421" s="3" t="s">
        <v>449</v>
      </c>
      <c r="C421" s="3" t="s">
        <v>27</v>
      </c>
      <c r="D421" s="3">
        <v>0.5</v>
      </c>
      <c r="E421" s="3" t="s">
        <v>447</v>
      </c>
      <c r="F421" s="4">
        <v>729.5</v>
      </c>
      <c r="G421" s="4">
        <v>445</v>
      </c>
      <c r="H421" s="4">
        <v>284.5</v>
      </c>
      <c r="I421" s="4">
        <v>445</v>
      </c>
      <c r="J421" s="4">
        <v>118</v>
      </c>
      <c r="K421" s="4">
        <v>0</v>
      </c>
      <c r="L421" s="4">
        <v>0</v>
      </c>
      <c r="M421" s="4">
        <v>170</v>
      </c>
      <c r="N421" s="4">
        <v>28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218</v>
      </c>
      <c r="Z421" s="4">
        <v>20</v>
      </c>
      <c r="AA421" s="4">
        <v>0</v>
      </c>
      <c r="AB421" s="4">
        <v>0</v>
      </c>
      <c r="AC421" s="4">
        <v>170</v>
      </c>
      <c r="AD421" s="4">
        <v>28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10">
        <f t="shared" si="24"/>
        <v>445</v>
      </c>
      <c r="AP421" s="10">
        <f t="shared" si="25"/>
        <v>316</v>
      </c>
      <c r="AQ421" s="1">
        <f t="shared" si="26"/>
        <v>761</v>
      </c>
      <c r="AR421" s="1">
        <f t="shared" si="27"/>
        <v>31.5</v>
      </c>
    </row>
    <row r="422" spans="1:44" x14ac:dyDescent="0.2">
      <c r="A422" s="3">
        <v>415</v>
      </c>
      <c r="B422" s="3" t="s">
        <v>450</v>
      </c>
      <c r="C422" s="3" t="s">
        <v>27</v>
      </c>
      <c r="D422" s="3">
        <v>0.75</v>
      </c>
      <c r="E422" s="3" t="s">
        <v>447</v>
      </c>
      <c r="F422" s="4">
        <v>1094.25</v>
      </c>
      <c r="G422" s="4">
        <v>667.5</v>
      </c>
      <c r="H422" s="4">
        <v>426.75</v>
      </c>
      <c r="I422" s="4">
        <v>655.5</v>
      </c>
      <c r="J422" s="4">
        <v>122.5</v>
      </c>
      <c r="K422" s="4">
        <v>0</v>
      </c>
      <c r="L422" s="4">
        <v>0</v>
      </c>
      <c r="M422" s="4">
        <v>245</v>
      </c>
      <c r="N422" s="4">
        <v>78</v>
      </c>
      <c r="O422" s="4">
        <v>72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407</v>
      </c>
      <c r="Z422" s="4">
        <v>12</v>
      </c>
      <c r="AA422" s="4">
        <v>0</v>
      </c>
      <c r="AB422" s="4">
        <v>0</v>
      </c>
      <c r="AC422" s="4">
        <v>245</v>
      </c>
      <c r="AD422" s="4">
        <v>78</v>
      </c>
      <c r="AE422" s="4">
        <v>72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10">
        <f t="shared" si="24"/>
        <v>655.5</v>
      </c>
      <c r="AP422" s="10">
        <f t="shared" si="25"/>
        <v>517.5</v>
      </c>
      <c r="AQ422" s="1">
        <f t="shared" si="26"/>
        <v>1173</v>
      </c>
      <c r="AR422" s="1">
        <f t="shared" si="27"/>
        <v>78.75</v>
      </c>
    </row>
    <row r="423" spans="1:44" x14ac:dyDescent="0.2">
      <c r="A423" s="3">
        <v>416</v>
      </c>
      <c r="B423" s="3" t="s">
        <v>451</v>
      </c>
      <c r="C423" s="3" t="s">
        <v>27</v>
      </c>
      <c r="D423" s="3">
        <v>0.5</v>
      </c>
      <c r="E423" s="3" t="s">
        <v>447</v>
      </c>
      <c r="F423" s="4">
        <v>729.5</v>
      </c>
      <c r="G423" s="4">
        <v>445</v>
      </c>
      <c r="H423" s="4">
        <v>284.5</v>
      </c>
      <c r="I423" s="4">
        <v>445</v>
      </c>
      <c r="J423" s="4">
        <v>94</v>
      </c>
      <c r="K423" s="4">
        <v>0</v>
      </c>
      <c r="L423" s="4">
        <v>0</v>
      </c>
      <c r="M423" s="4">
        <v>170</v>
      </c>
      <c r="N423" s="4">
        <v>28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198</v>
      </c>
      <c r="Z423" s="4">
        <v>0</v>
      </c>
      <c r="AA423" s="4">
        <v>0</v>
      </c>
      <c r="AB423" s="4">
        <v>0</v>
      </c>
      <c r="AC423" s="4">
        <v>170</v>
      </c>
      <c r="AD423" s="4">
        <v>28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10">
        <f t="shared" si="24"/>
        <v>445</v>
      </c>
      <c r="AP423" s="10">
        <f t="shared" si="25"/>
        <v>292</v>
      </c>
      <c r="AQ423" s="1">
        <f t="shared" si="26"/>
        <v>737</v>
      </c>
      <c r="AR423" s="1">
        <f t="shared" si="27"/>
        <v>7.5</v>
      </c>
    </row>
    <row r="424" spans="1:44" x14ac:dyDescent="0.2">
      <c r="A424" s="3">
        <v>417</v>
      </c>
      <c r="B424" s="3" t="s">
        <v>452</v>
      </c>
      <c r="C424" s="3" t="s">
        <v>36</v>
      </c>
      <c r="D424" s="3">
        <v>0.5</v>
      </c>
      <c r="E424" s="3" t="s">
        <v>447</v>
      </c>
      <c r="F424" s="4">
        <v>729.5</v>
      </c>
      <c r="G424" s="4">
        <v>445</v>
      </c>
      <c r="H424" s="4">
        <v>284.5</v>
      </c>
      <c r="I424" s="4">
        <v>441</v>
      </c>
      <c r="J424" s="4">
        <v>125.5</v>
      </c>
      <c r="K424" s="4">
        <v>0</v>
      </c>
      <c r="L424" s="4">
        <v>0</v>
      </c>
      <c r="M424" s="4">
        <v>70</v>
      </c>
      <c r="N424" s="4">
        <v>28</v>
      </c>
      <c r="O424" s="4">
        <v>450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585</v>
      </c>
      <c r="Z424" s="4">
        <v>37</v>
      </c>
      <c r="AA424" s="4">
        <v>0</v>
      </c>
      <c r="AB424" s="4">
        <v>0</v>
      </c>
      <c r="AC424" s="4">
        <v>70</v>
      </c>
      <c r="AD424" s="4">
        <v>28</v>
      </c>
      <c r="AE424" s="4">
        <v>450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10">
        <f t="shared" si="24"/>
        <v>441</v>
      </c>
      <c r="AP424" s="10">
        <f t="shared" si="25"/>
        <v>673.5</v>
      </c>
      <c r="AQ424" s="1">
        <f t="shared" si="26"/>
        <v>1114.5</v>
      </c>
      <c r="AR424" s="1">
        <f t="shared" si="27"/>
        <v>385</v>
      </c>
    </row>
    <row r="425" spans="1:44" x14ac:dyDescent="0.2">
      <c r="A425" s="3">
        <v>418</v>
      </c>
      <c r="B425" s="3" t="s">
        <v>453</v>
      </c>
      <c r="C425" s="3" t="s">
        <v>27</v>
      </c>
      <c r="D425" s="3">
        <v>0.5</v>
      </c>
      <c r="E425" s="3" t="s">
        <v>447</v>
      </c>
      <c r="F425" s="4">
        <v>729.5</v>
      </c>
      <c r="G425" s="4">
        <v>445</v>
      </c>
      <c r="H425" s="4">
        <v>284.5</v>
      </c>
      <c r="I425" s="4">
        <v>499</v>
      </c>
      <c r="J425" s="4">
        <v>113.5</v>
      </c>
      <c r="K425" s="4">
        <v>0</v>
      </c>
      <c r="L425" s="4">
        <v>0</v>
      </c>
      <c r="M425" s="4">
        <v>70</v>
      </c>
      <c r="N425" s="4">
        <v>28</v>
      </c>
      <c r="O425" s="4">
        <v>72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192</v>
      </c>
      <c r="Z425" s="4">
        <v>22</v>
      </c>
      <c r="AA425" s="4">
        <v>0</v>
      </c>
      <c r="AB425" s="4">
        <v>0</v>
      </c>
      <c r="AC425" s="4">
        <v>70</v>
      </c>
      <c r="AD425" s="4">
        <v>28</v>
      </c>
      <c r="AE425" s="4">
        <v>72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10">
        <f t="shared" si="24"/>
        <v>499</v>
      </c>
      <c r="AP425" s="10">
        <f t="shared" si="25"/>
        <v>283.5</v>
      </c>
      <c r="AQ425" s="1">
        <f t="shared" si="26"/>
        <v>782.5</v>
      </c>
      <c r="AR425" s="1">
        <f t="shared" si="27"/>
        <v>53</v>
      </c>
    </row>
    <row r="426" spans="1:44" x14ac:dyDescent="0.2">
      <c r="A426" s="3">
        <v>419</v>
      </c>
      <c r="B426" s="3" t="s">
        <v>454</v>
      </c>
      <c r="C426" s="3" t="s">
        <v>48</v>
      </c>
      <c r="D426" s="3">
        <v>0.25</v>
      </c>
      <c r="E426" s="3" t="s">
        <v>447</v>
      </c>
      <c r="F426" s="4">
        <v>364.75</v>
      </c>
      <c r="G426" s="4">
        <v>222.5</v>
      </c>
      <c r="H426" s="4">
        <v>142.25</v>
      </c>
      <c r="I426" s="4">
        <v>217</v>
      </c>
      <c r="J426" s="4">
        <v>49</v>
      </c>
      <c r="K426" s="4">
        <v>0</v>
      </c>
      <c r="L426" s="4">
        <v>0</v>
      </c>
      <c r="M426" s="4">
        <v>0</v>
      </c>
      <c r="N426" s="4">
        <v>28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28</v>
      </c>
      <c r="Z426" s="4">
        <v>0</v>
      </c>
      <c r="AA426" s="4">
        <v>0</v>
      </c>
      <c r="AB426" s="4">
        <v>0</v>
      </c>
      <c r="AC426" s="4">
        <v>0</v>
      </c>
      <c r="AD426" s="4">
        <v>28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10">
        <f t="shared" si="24"/>
        <v>217</v>
      </c>
      <c r="AP426" s="10">
        <f t="shared" si="25"/>
        <v>77</v>
      </c>
      <c r="AQ426" s="1">
        <f t="shared" si="26"/>
        <v>294</v>
      </c>
      <c r="AR426" s="1">
        <f t="shared" si="27"/>
        <v>-70.75</v>
      </c>
    </row>
    <row r="427" spans="1:44" x14ac:dyDescent="0.2">
      <c r="A427" s="3">
        <v>420</v>
      </c>
      <c r="B427" s="3" t="s">
        <v>455</v>
      </c>
      <c r="C427" s="3" t="s">
        <v>32</v>
      </c>
      <c r="D427" s="3">
        <v>0.5</v>
      </c>
      <c r="E427" s="3" t="s">
        <v>447</v>
      </c>
      <c r="F427" s="4">
        <v>729.5</v>
      </c>
      <c r="G427" s="4">
        <v>445</v>
      </c>
      <c r="H427" s="4">
        <v>284.5</v>
      </c>
      <c r="I427" s="4">
        <v>445</v>
      </c>
      <c r="J427" s="4">
        <v>100.3</v>
      </c>
      <c r="K427" s="4">
        <v>0</v>
      </c>
      <c r="L427" s="4">
        <v>0</v>
      </c>
      <c r="M427" s="4">
        <v>83</v>
      </c>
      <c r="N427" s="4">
        <v>28</v>
      </c>
      <c r="O427" s="4">
        <v>360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479.5</v>
      </c>
      <c r="Z427" s="4">
        <v>8.5</v>
      </c>
      <c r="AA427" s="4">
        <v>0</v>
      </c>
      <c r="AB427" s="4">
        <v>0</v>
      </c>
      <c r="AC427" s="4">
        <v>83</v>
      </c>
      <c r="AD427" s="4">
        <v>28</v>
      </c>
      <c r="AE427" s="4">
        <v>360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10">
        <f t="shared" si="24"/>
        <v>445</v>
      </c>
      <c r="AP427" s="10">
        <f t="shared" si="25"/>
        <v>571.29999999999995</v>
      </c>
      <c r="AQ427" s="1">
        <f t="shared" si="26"/>
        <v>1016.3</v>
      </c>
      <c r="AR427" s="1">
        <f t="shared" si="27"/>
        <v>286.79999999999995</v>
      </c>
    </row>
    <row r="428" spans="1:44" x14ac:dyDescent="0.2">
      <c r="A428" s="3">
        <v>421</v>
      </c>
      <c r="B428" s="3" t="s">
        <v>456</v>
      </c>
      <c r="C428" s="3" t="s">
        <v>32</v>
      </c>
      <c r="D428" s="3">
        <v>0.75</v>
      </c>
      <c r="E428" s="3" t="s">
        <v>447</v>
      </c>
      <c r="F428" s="4">
        <v>1094.25</v>
      </c>
      <c r="G428" s="4">
        <v>667.5</v>
      </c>
      <c r="H428" s="4">
        <v>426.75</v>
      </c>
      <c r="I428" s="4">
        <v>665</v>
      </c>
      <c r="J428" s="4">
        <v>150.5</v>
      </c>
      <c r="K428" s="4">
        <v>0</v>
      </c>
      <c r="L428" s="4">
        <v>0</v>
      </c>
      <c r="M428" s="4">
        <v>245</v>
      </c>
      <c r="N428" s="4">
        <v>28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277</v>
      </c>
      <c r="Z428" s="4">
        <v>4</v>
      </c>
      <c r="AA428" s="4">
        <v>0</v>
      </c>
      <c r="AB428" s="4">
        <v>0</v>
      </c>
      <c r="AC428" s="4">
        <v>245</v>
      </c>
      <c r="AD428" s="4">
        <v>28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10">
        <f t="shared" si="24"/>
        <v>665</v>
      </c>
      <c r="AP428" s="10">
        <f t="shared" si="25"/>
        <v>423.5</v>
      </c>
      <c r="AQ428" s="1">
        <f t="shared" si="26"/>
        <v>1088.5</v>
      </c>
      <c r="AR428" s="1">
        <f t="shared" si="27"/>
        <v>-5.75</v>
      </c>
    </row>
    <row r="429" spans="1:44" x14ac:dyDescent="0.2">
      <c r="A429" s="3">
        <v>422</v>
      </c>
      <c r="B429" s="3" t="s">
        <v>457</v>
      </c>
      <c r="C429" s="3" t="s">
        <v>27</v>
      </c>
      <c r="D429" s="3">
        <v>0.5</v>
      </c>
      <c r="E429" s="3" t="s">
        <v>447</v>
      </c>
      <c r="F429" s="4">
        <v>729.5</v>
      </c>
      <c r="G429" s="4">
        <v>445</v>
      </c>
      <c r="H429" s="4">
        <v>284.5</v>
      </c>
      <c r="I429" s="4">
        <v>445</v>
      </c>
      <c r="J429" s="4">
        <v>101.5</v>
      </c>
      <c r="K429" s="4">
        <v>0</v>
      </c>
      <c r="L429" s="4">
        <v>0</v>
      </c>
      <c r="M429" s="4">
        <v>454</v>
      </c>
      <c r="N429" s="4">
        <v>28</v>
      </c>
      <c r="O429" s="4">
        <v>100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582</v>
      </c>
      <c r="Z429" s="4">
        <v>0</v>
      </c>
      <c r="AA429" s="4">
        <v>0</v>
      </c>
      <c r="AB429" s="4">
        <v>0</v>
      </c>
      <c r="AC429" s="4">
        <v>454</v>
      </c>
      <c r="AD429" s="4">
        <v>28</v>
      </c>
      <c r="AE429" s="4">
        <v>100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10">
        <f t="shared" si="24"/>
        <v>445</v>
      </c>
      <c r="AP429" s="10">
        <f t="shared" si="25"/>
        <v>683.5</v>
      </c>
      <c r="AQ429" s="1">
        <f t="shared" si="26"/>
        <v>1128.5</v>
      </c>
      <c r="AR429" s="1">
        <f t="shared" si="27"/>
        <v>399</v>
      </c>
    </row>
    <row r="430" spans="1:44" x14ac:dyDescent="0.2">
      <c r="A430" s="3">
        <v>423</v>
      </c>
      <c r="B430" s="3" t="s">
        <v>458</v>
      </c>
      <c r="C430" s="3" t="s">
        <v>27</v>
      </c>
      <c r="D430" s="3">
        <v>0.5</v>
      </c>
      <c r="E430" s="3" t="s">
        <v>447</v>
      </c>
      <c r="F430" s="4">
        <v>729.5</v>
      </c>
      <c r="G430" s="4">
        <v>445</v>
      </c>
      <c r="H430" s="4">
        <v>284.5</v>
      </c>
      <c r="I430" s="4">
        <v>445</v>
      </c>
      <c r="J430" s="4">
        <v>102.5</v>
      </c>
      <c r="K430" s="4">
        <v>0</v>
      </c>
      <c r="L430" s="4">
        <v>0</v>
      </c>
      <c r="M430" s="4">
        <v>145</v>
      </c>
      <c r="N430" s="4">
        <v>33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178</v>
      </c>
      <c r="Z430" s="4">
        <v>0</v>
      </c>
      <c r="AA430" s="4">
        <v>0</v>
      </c>
      <c r="AB430" s="4">
        <v>0</v>
      </c>
      <c r="AC430" s="4">
        <v>145</v>
      </c>
      <c r="AD430" s="4">
        <v>33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10">
        <f t="shared" si="24"/>
        <v>445</v>
      </c>
      <c r="AP430" s="10">
        <f t="shared" si="25"/>
        <v>280.5</v>
      </c>
      <c r="AQ430" s="1">
        <f t="shared" si="26"/>
        <v>725.5</v>
      </c>
      <c r="AR430" s="1">
        <f t="shared" si="27"/>
        <v>-4</v>
      </c>
    </row>
    <row r="431" spans="1:44" x14ac:dyDescent="0.2">
      <c r="A431" s="3">
        <v>424</v>
      </c>
      <c r="B431" s="3" t="s">
        <v>459</v>
      </c>
      <c r="C431" s="3" t="s">
        <v>27</v>
      </c>
      <c r="D431" s="3">
        <v>0.75</v>
      </c>
      <c r="E431" s="3" t="s">
        <v>447</v>
      </c>
      <c r="F431" s="4">
        <v>1094.25</v>
      </c>
      <c r="G431" s="4">
        <v>667.5</v>
      </c>
      <c r="H431" s="4">
        <v>426.75</v>
      </c>
      <c r="I431" s="4">
        <v>662</v>
      </c>
      <c r="J431" s="4">
        <v>138</v>
      </c>
      <c r="K431" s="4">
        <v>440</v>
      </c>
      <c r="L431" s="4">
        <v>0</v>
      </c>
      <c r="M431" s="4">
        <v>80</v>
      </c>
      <c r="N431" s="4">
        <v>28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552</v>
      </c>
      <c r="Z431" s="4">
        <v>4</v>
      </c>
      <c r="AA431" s="4">
        <v>440</v>
      </c>
      <c r="AB431" s="4">
        <v>0</v>
      </c>
      <c r="AC431" s="4">
        <v>80</v>
      </c>
      <c r="AD431" s="4">
        <v>28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10">
        <f t="shared" si="24"/>
        <v>662</v>
      </c>
      <c r="AP431" s="10">
        <f t="shared" si="25"/>
        <v>686</v>
      </c>
      <c r="AQ431" s="1">
        <f t="shared" si="26"/>
        <v>1348</v>
      </c>
      <c r="AR431" s="1">
        <f t="shared" si="27"/>
        <v>253.75</v>
      </c>
    </row>
    <row r="432" spans="1:44" x14ac:dyDescent="0.2">
      <c r="A432" s="3">
        <v>425</v>
      </c>
      <c r="B432" s="3" t="s">
        <v>460</v>
      </c>
      <c r="C432" s="3" t="s">
        <v>27</v>
      </c>
      <c r="D432" s="3">
        <v>0.5</v>
      </c>
      <c r="E432" s="3" t="s">
        <v>447</v>
      </c>
      <c r="F432" s="4">
        <v>729.5</v>
      </c>
      <c r="G432" s="4">
        <v>445</v>
      </c>
      <c r="H432" s="4">
        <v>284.5</v>
      </c>
      <c r="I432" s="4">
        <v>445</v>
      </c>
      <c r="J432" s="4">
        <v>119.8</v>
      </c>
      <c r="K432" s="4">
        <v>0</v>
      </c>
      <c r="L432" s="4">
        <v>0</v>
      </c>
      <c r="M432" s="4">
        <v>265</v>
      </c>
      <c r="N432" s="4">
        <v>28</v>
      </c>
      <c r="O432" s="4">
        <v>1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310</v>
      </c>
      <c r="Z432" s="4">
        <v>16</v>
      </c>
      <c r="AA432" s="4">
        <v>0</v>
      </c>
      <c r="AB432" s="4">
        <v>0</v>
      </c>
      <c r="AC432" s="4">
        <v>265</v>
      </c>
      <c r="AD432" s="4">
        <v>28</v>
      </c>
      <c r="AE432" s="4">
        <v>1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10">
        <f t="shared" si="24"/>
        <v>445</v>
      </c>
      <c r="AP432" s="10">
        <f t="shared" si="25"/>
        <v>413.8</v>
      </c>
      <c r="AQ432" s="1">
        <f t="shared" si="26"/>
        <v>858.8</v>
      </c>
      <c r="AR432" s="1">
        <f t="shared" si="27"/>
        <v>129.29999999999995</v>
      </c>
    </row>
    <row r="433" spans="1:44" x14ac:dyDescent="0.2">
      <c r="A433" s="3">
        <v>426</v>
      </c>
      <c r="B433" s="3" t="s">
        <v>461</v>
      </c>
      <c r="C433" s="3" t="s">
        <v>27</v>
      </c>
      <c r="D433" s="3">
        <v>0.25</v>
      </c>
      <c r="E433" s="3" t="s">
        <v>447</v>
      </c>
      <c r="F433" s="4">
        <v>364.75</v>
      </c>
      <c r="G433" s="4">
        <v>222.5</v>
      </c>
      <c r="H433" s="4">
        <v>142.25</v>
      </c>
      <c r="I433" s="4">
        <v>222</v>
      </c>
      <c r="J433" s="4">
        <v>53</v>
      </c>
      <c r="K433" s="4">
        <v>0</v>
      </c>
      <c r="L433" s="4">
        <v>0</v>
      </c>
      <c r="M433" s="4">
        <v>106.5</v>
      </c>
      <c r="N433" s="4">
        <v>28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102.5</v>
      </c>
      <c r="Z433" s="4">
        <v>8</v>
      </c>
      <c r="AA433" s="4">
        <v>0</v>
      </c>
      <c r="AB433" s="4">
        <v>0</v>
      </c>
      <c r="AC433" s="4">
        <v>66.5</v>
      </c>
      <c r="AD433" s="4">
        <v>28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10">
        <f t="shared" si="24"/>
        <v>222</v>
      </c>
      <c r="AP433" s="10">
        <f t="shared" si="25"/>
        <v>187.5</v>
      </c>
      <c r="AQ433" s="1">
        <f t="shared" si="26"/>
        <v>409.5</v>
      </c>
      <c r="AR433" s="1">
        <f t="shared" si="27"/>
        <v>44.75</v>
      </c>
    </row>
    <row r="434" spans="1:44" x14ac:dyDescent="0.2">
      <c r="A434" s="3">
        <v>427</v>
      </c>
      <c r="B434" s="3" t="s">
        <v>462</v>
      </c>
      <c r="C434" s="3" t="s">
        <v>27</v>
      </c>
      <c r="D434" s="3">
        <v>0.25</v>
      </c>
      <c r="E434" s="3" t="s">
        <v>447</v>
      </c>
      <c r="F434" s="4">
        <v>364.75</v>
      </c>
      <c r="G434" s="4">
        <v>222.5</v>
      </c>
      <c r="H434" s="4">
        <v>142.25</v>
      </c>
      <c r="I434" s="4">
        <v>222</v>
      </c>
      <c r="J434" s="4">
        <v>40</v>
      </c>
      <c r="K434" s="4">
        <v>75</v>
      </c>
      <c r="L434" s="4">
        <v>0</v>
      </c>
      <c r="M434" s="4">
        <v>25</v>
      </c>
      <c r="N434" s="4">
        <v>28</v>
      </c>
      <c r="O434" s="4">
        <v>72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200</v>
      </c>
      <c r="Z434" s="4">
        <v>0</v>
      </c>
      <c r="AA434" s="4">
        <v>75</v>
      </c>
      <c r="AB434" s="4">
        <v>0</v>
      </c>
      <c r="AC434" s="4">
        <v>25</v>
      </c>
      <c r="AD434" s="4">
        <v>28</v>
      </c>
      <c r="AE434" s="4">
        <v>72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10">
        <f t="shared" si="24"/>
        <v>222</v>
      </c>
      <c r="AP434" s="10">
        <f t="shared" si="25"/>
        <v>240</v>
      </c>
      <c r="AQ434" s="1">
        <f t="shared" si="26"/>
        <v>462</v>
      </c>
      <c r="AR434" s="1">
        <f t="shared" si="27"/>
        <v>97.25</v>
      </c>
    </row>
    <row r="435" spans="1:44" x14ac:dyDescent="0.2">
      <c r="G435" s="9" t="s">
        <v>463</v>
      </c>
    </row>
  </sheetData>
  <autoFilter ref="A7:AN435" xr:uid="{00000000-0009-0000-0000-000000000000}"/>
  <mergeCells count="16">
    <mergeCell ref="A1:L1"/>
    <mergeCell ref="A3:A6"/>
    <mergeCell ref="B3:B6"/>
    <mergeCell ref="C3:C6"/>
    <mergeCell ref="D3:D6"/>
    <mergeCell ref="E3:E6"/>
    <mergeCell ref="F3:H5"/>
    <mergeCell ref="I3:I5"/>
    <mergeCell ref="J3:X3"/>
    <mergeCell ref="J4:X4"/>
    <mergeCell ref="Y3:AN3"/>
    <mergeCell ref="Y4:AN4"/>
    <mergeCell ref="J5:P5"/>
    <mergeCell ref="Q5:X5"/>
    <mergeCell ref="Y5:AF5"/>
    <mergeCell ref="AG5:A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Антонов Андрей</dc:creator>
  <cp:lastModifiedBy>Анатолий</cp:lastModifiedBy>
  <dcterms:created xsi:type="dcterms:W3CDTF">2025-12-05T02:09:21Z</dcterms:created>
  <dcterms:modified xsi:type="dcterms:W3CDTF">2026-06-04T13:54:48Z</dcterms:modified>
</cp:coreProperties>
</file>